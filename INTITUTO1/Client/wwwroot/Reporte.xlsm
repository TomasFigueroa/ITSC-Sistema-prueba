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/>
  <workbookPr saveExternalLinkValues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briel Martin\Desktop\"/>
    </mc:Choice>
  </mc:AlternateContent>
  <bookViews>
    <workbookView xWindow="-105" yWindow="-105" windowWidth="23250" windowHeight="12570" tabRatio="466" firstSheet="6" activeTab="7"/>
  </bookViews>
  <sheets>
    <sheet name="INICIO" sheetId="18" r:id="rId1"/>
    <sheet name="CORRELATIVOS" sheetId="20" r:id="rId2"/>
    <sheet name="CERTIFICADOS" sheetId="15" r:id="rId3"/>
    <sheet name="COOPERADORA" sheetId="19" r:id="rId4"/>
    <sheet name="CODIGO PROGRAMACION" sheetId="17" r:id="rId5"/>
    <sheet name="SALIDA EDUCATIVA" sheetId="25" r:id="rId6"/>
    <sheet name="BASE DE ESTUDIANTES" sheetId="21" r:id="rId7"/>
    <sheet name="MATERIAS " sheetId="22" r:id="rId8"/>
    <sheet name="BASE DE DATOS" sheetId="32" r:id="rId9"/>
  </sheets>
  <externalReferences>
    <externalReference r:id="rId10"/>
  </externalReferences>
  <definedNames>
    <definedName name="apr1fa">#REF!</definedName>
    <definedName name="apr1fea">#REF!</definedName>
    <definedName name="apr1la">#REF!</definedName>
    <definedName name="apr1nl">#REF!</definedName>
    <definedName name="apr1nn">#REF!</definedName>
    <definedName name="apr1Tex">#REF!</definedName>
    <definedName name="_xlnm.Print_Area" localSheetId="2">CERTIFICADOS!$B$15:$O$74</definedName>
    <definedName name="epr3fa">#REF!</definedName>
    <definedName name="epr3fea">#REF!</definedName>
    <definedName name="epr3la">#REF!</definedName>
    <definedName name="epr3nl">#REF!</definedName>
    <definedName name="epr3nn">#REF!</definedName>
    <definedName name="epr3Tex">#REF!</definedName>
    <definedName name="eyc2fa">#REF!</definedName>
    <definedName name="eyc2fea">#REF!</definedName>
    <definedName name="eyc2la">#REF!</definedName>
    <definedName name="eyc2nl">#REF!</definedName>
    <definedName name="eyc2nn">#REF!</definedName>
    <definedName name="eyc2Tex">#REF!</definedName>
    <definedName name="fi22fa">#REF!</definedName>
    <definedName name="fi22fea">#REF!</definedName>
    <definedName name="fi22la">#REF!</definedName>
    <definedName name="fi22nl">#REF!</definedName>
    <definedName name="fi22nn">#REF!</definedName>
    <definedName name="fi22Tex">#REF!</definedName>
    <definedName name="FM">#REF!</definedName>
    <definedName name="Fnac">#REF!</definedName>
    <definedName name="gsp3fa">#REF!</definedName>
    <definedName name="gsp3fea">#REF!</definedName>
    <definedName name="gsp3la">#REF!</definedName>
    <definedName name="gsp3nl">#REF!</definedName>
    <definedName name="gsp3nn">#REF!</definedName>
    <definedName name="gsp3Tex">#REF!</definedName>
    <definedName name="iec3fa">#REF!</definedName>
    <definedName name="iec3fea">#REF!</definedName>
    <definedName name="iec3la">#REF!</definedName>
    <definedName name="iec3nl">#REF!</definedName>
    <definedName name="iec3nn">#REF!</definedName>
    <definedName name="iec3Tex">#REF!</definedName>
    <definedName name="ies2fa">#REF!</definedName>
    <definedName name="ies2fea">#REF!</definedName>
    <definedName name="ies2la">#REF!</definedName>
    <definedName name="ies2nl">#REF!</definedName>
    <definedName name="ies2nn">#REF!</definedName>
    <definedName name="ies2Tex">#REF!</definedName>
    <definedName name="ing1fa">#REF!</definedName>
    <definedName name="ing1fe">#REF!</definedName>
    <definedName name="ing1la">#REF!</definedName>
    <definedName name="ing1nl">#REF!</definedName>
    <definedName name="ing1nn">#REF!</definedName>
    <definedName name="ing1tex">#REF!</definedName>
    <definedName name="Leg">#REF!</definedName>
    <definedName name="LM">#REF!</definedName>
    <definedName name="Lnac1">#REF!</definedName>
    <definedName name="ma11fa">#REF!</definedName>
    <definedName name="ma11fea">#REF!</definedName>
    <definedName name="ma11la">#REF!</definedName>
    <definedName name="ma11nl">#REF!</definedName>
    <definedName name="ma11nn">#REF!</definedName>
    <definedName name="ma11Tex">#REF!</definedName>
    <definedName name="ma22fa">#REF!</definedName>
    <definedName name="ma22fea">#REF!</definedName>
    <definedName name="ma22la">#REF!</definedName>
    <definedName name="ma22nl">#REF!</definedName>
    <definedName name="ma22nn">#REF!</definedName>
    <definedName name="ma22Tex">#REF!</definedName>
    <definedName name="Ndoc">#REF!</definedName>
    <definedName name="Nom">[1]TFP_Datos!$C$3:$C$330</definedName>
    <definedName name="Nomb">#REF!</definedName>
    <definedName name="pd11fa">#REF!</definedName>
    <definedName name="pd11fea">#REF!</definedName>
    <definedName name="pd11la">#REF!</definedName>
    <definedName name="pd11nl">#REF!</definedName>
    <definedName name="pd11nn">#REF!</definedName>
    <definedName name="pd11Tex">#REF!</definedName>
    <definedName name="pd22fa">#REF!</definedName>
    <definedName name="pd22fea">#REF!</definedName>
    <definedName name="pd22la">#REF!</definedName>
    <definedName name="pd22nl">#REF!</definedName>
    <definedName name="pd22nn">#REF!</definedName>
    <definedName name="pd22Tex">#REF!</definedName>
    <definedName name="pd33fa">#REF!</definedName>
    <definedName name="pd33fea">#REF!</definedName>
    <definedName name="pd33la">#REF!</definedName>
    <definedName name="pd33nl">#REF!</definedName>
    <definedName name="pd33nn">#REF!</definedName>
    <definedName name="pd33Tex">#REF!</definedName>
    <definedName name="qui1fa">#REF!</definedName>
    <definedName name="qui1fea">#REF!</definedName>
    <definedName name="qui1la">#REF!</definedName>
    <definedName name="qui1nl">#REF!</definedName>
    <definedName name="qui1nn">#REF!</definedName>
    <definedName name="qui1Tex">#REF!</definedName>
    <definedName name="sct3fa">#REF!</definedName>
    <definedName name="sct3fea">#REF!</definedName>
    <definedName name="sct3la">#REF!</definedName>
    <definedName name="sct3nl">#REF!</definedName>
    <definedName name="sct3nn">#REF!</definedName>
    <definedName name="sct3Tex">#REF!</definedName>
    <definedName name="sir2fa">#REF!</definedName>
    <definedName name="sir2fea">#REF!</definedName>
    <definedName name="sir2la">#REF!</definedName>
    <definedName name="sir2nl">#REF!</definedName>
    <definedName name="sir2nn">#REF!</definedName>
    <definedName name="sir2Tex">#REF!</definedName>
    <definedName name="spb3fa">#REF!</definedName>
    <definedName name="spb3fea">#REF!</definedName>
    <definedName name="spb3la">#REF!</definedName>
    <definedName name="spb3nl">#REF!</definedName>
    <definedName name="spb3nn">#REF!</definedName>
    <definedName name="spb3Tex">#REF!</definedName>
    <definedName name="sse1fa">#REF!</definedName>
    <definedName name="sse1fea">#REF!</definedName>
    <definedName name="sse1la">#REF!</definedName>
    <definedName name="sse1nl">#REF!</definedName>
    <definedName name="sse1nn">#REF!</definedName>
    <definedName name="sse1Tex">#REF!</definedName>
    <definedName name="ste3fa">#REF!</definedName>
    <definedName name="ste3fea">#REF!</definedName>
    <definedName name="ste3la">#REF!</definedName>
    <definedName name="ste3nl">#REF!</definedName>
    <definedName name="ste3nn">#REF!</definedName>
    <definedName name="ste3Tex">#REF!</definedName>
    <definedName name="Tdoc">#REF!</definedName>
    <definedName name="Tel">#REF!</definedName>
    <definedName name="Thab">#REF!</definedName>
    <definedName name="TIPOS">CERTIFICADOS!$P$23:$P$25</definedName>
    <definedName name="TITULOS">CERTIFICADOS!$P$17:$P$19</definedName>
  </definedNames>
  <calcPr calcId="162913"/>
</workbook>
</file>

<file path=xl/calcChain.xml><?xml version="1.0" encoding="utf-8"?>
<calcChain xmlns="http://schemas.openxmlformats.org/spreadsheetml/2006/main">
  <c r="J36" i="15" l="1"/>
  <c r="J39" i="15"/>
  <c r="J41" i="15"/>
  <c r="J40" i="15" l="1"/>
  <c r="J34" i="15" l="1"/>
  <c r="J35" i="15"/>
  <c r="J33" i="15"/>
  <c r="C59" i="19" l="1"/>
  <c r="J38" i="15" l="1"/>
  <c r="J37" i="15"/>
  <c r="F35" i="15"/>
  <c r="F41" i="15" l="1"/>
  <c r="F40" i="15"/>
  <c r="F39" i="15"/>
  <c r="F37" i="15"/>
  <c r="F34" i="15"/>
  <c r="F33" i="15"/>
  <c r="D2" i="22"/>
  <c r="S49" i="15" l="1"/>
  <c r="S50" i="15"/>
  <c r="L33" i="15" l="1"/>
  <c r="L34" i="15"/>
  <c r="L35" i="15"/>
  <c r="L36" i="15"/>
  <c r="L37" i="15"/>
  <c r="L38" i="15"/>
  <c r="L39" i="15"/>
  <c r="H36" i="15"/>
  <c r="I36" i="15"/>
  <c r="H35" i="15"/>
  <c r="K36" i="15"/>
  <c r="I40" i="15"/>
  <c r="H34" i="15"/>
  <c r="M34" i="15"/>
  <c r="M37" i="15"/>
  <c r="I34" i="15"/>
  <c r="I35" i="15"/>
  <c r="I37" i="15"/>
  <c r="I38" i="15"/>
  <c r="I41" i="15"/>
  <c r="I39" i="15"/>
  <c r="M33" i="15"/>
  <c r="M38" i="15"/>
  <c r="M41" i="15"/>
  <c r="M39" i="15"/>
  <c r="M40" i="15"/>
  <c r="M36" i="15"/>
  <c r="M35" i="15"/>
  <c r="L40" i="15"/>
  <c r="K38" i="15"/>
  <c r="G39" i="15"/>
  <c r="H38" i="15"/>
  <c r="K41" i="15"/>
  <c r="L41" i="15"/>
  <c r="G35" i="15"/>
  <c r="K33" i="15"/>
  <c r="G41" i="15"/>
  <c r="H40" i="15"/>
  <c r="G38" i="15"/>
  <c r="K39" i="15"/>
  <c r="K35" i="15"/>
  <c r="H39" i="15"/>
  <c r="K37" i="15"/>
  <c r="H41" i="15"/>
  <c r="H37" i="15"/>
  <c r="G36" i="15"/>
  <c r="F36" i="15"/>
  <c r="G34" i="15"/>
  <c r="K34" i="15"/>
  <c r="I33" i="15"/>
  <c r="G40" i="15"/>
  <c r="G37" i="15"/>
  <c r="K40" i="15"/>
  <c r="G33" i="15"/>
  <c r="E40" i="15"/>
  <c r="E35" i="15"/>
  <c r="E39" i="15"/>
  <c r="E34" i="15"/>
  <c r="E37" i="15"/>
  <c r="E33" i="15"/>
  <c r="H33" i="15"/>
  <c r="E41" i="15"/>
  <c r="E36" i="15"/>
  <c r="E38" i="15"/>
  <c r="M21" i="15"/>
  <c r="M23" i="15"/>
  <c r="D18" i="15"/>
  <c r="D23" i="15"/>
  <c r="D19" i="15"/>
  <c r="D24" i="15"/>
  <c r="D20" i="15"/>
  <c r="M18" i="15"/>
  <c r="D21" i="15"/>
  <c r="F38" i="15" l="1"/>
  <c r="D70" i="15"/>
  <c r="A74" i="22"/>
  <c r="M2" i="21" l="1"/>
  <c r="M3" i="21"/>
  <c r="M4" i="21"/>
  <c r="M5" i="21"/>
  <c r="M6" i="21"/>
  <c r="M7" i="21"/>
  <c r="M10" i="21"/>
  <c r="M8" i="21"/>
  <c r="M9" i="21"/>
  <c r="M11" i="21"/>
  <c r="M12" i="21"/>
  <c r="M13" i="21"/>
  <c r="M14" i="21"/>
  <c r="M15" i="21"/>
  <c r="M16" i="21"/>
  <c r="M17" i="21"/>
  <c r="M18" i="21"/>
  <c r="M19" i="21"/>
  <c r="M22" i="21"/>
  <c r="M20" i="21"/>
  <c r="M21" i="21"/>
  <c r="M23" i="21"/>
  <c r="M24" i="21"/>
  <c r="M25" i="21"/>
  <c r="M26" i="21"/>
  <c r="M27" i="21"/>
  <c r="M28" i="21"/>
  <c r="M29" i="21"/>
  <c r="M30" i="21"/>
  <c r="M31" i="21"/>
  <c r="M33" i="21"/>
  <c r="M32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K74" i="21" l="1"/>
  <c r="B99" i="21"/>
  <c r="N2" i="19" l="1"/>
  <c r="P2" i="19"/>
  <c r="P3" i="19"/>
  <c r="L2" i="19"/>
  <c r="M2" i="19" l="1"/>
  <c r="O2" i="19"/>
  <c r="C27" i="15"/>
  <c r="C76" i="15" l="1"/>
  <c r="D67" i="15" l="1"/>
  <c r="D71" i="15"/>
  <c r="D72" i="15"/>
</calcChain>
</file>

<file path=xl/comments1.xml><?xml version="1.0" encoding="utf-8"?>
<comments xmlns="http://schemas.openxmlformats.org/spreadsheetml/2006/main">
  <authors>
    <author>Gabriel Martin</author>
    <author>GABRIEL</author>
  </authors>
  <commentList>
    <comment ref="I2" authorId="0" shapeId="0">
      <text>
        <r>
          <rPr>
            <b/>
            <sz val="9"/>
            <color indexed="81"/>
            <rFont val="Tahoma"/>
            <family val="2"/>
          </rPr>
          <t>Gabriel Martin:</t>
        </r>
        <r>
          <rPr>
            <sz val="9"/>
            <color indexed="81"/>
            <rFont val="Tahoma"/>
            <family val="2"/>
          </rPr>
          <t xml:space="preserve">
transferencia</t>
        </r>
      </text>
    </comment>
    <comment ref="J32" authorId="1" shapeId="0">
      <text>
        <r>
          <rPr>
            <b/>
            <sz val="9"/>
            <color indexed="81"/>
            <rFont val="Tahoma"/>
            <charset val="1"/>
          </rPr>
          <t>GABRIEL:</t>
        </r>
        <r>
          <rPr>
            <sz val="9"/>
            <color indexed="81"/>
            <rFont val="Tahoma"/>
            <charset val="1"/>
          </rPr>
          <t xml:space="preserve">
primer cuota
</t>
        </r>
      </text>
    </comment>
  </commentList>
</comments>
</file>

<file path=xl/comments2.xml><?xml version="1.0" encoding="utf-8"?>
<comments xmlns="http://schemas.openxmlformats.org/spreadsheetml/2006/main">
  <authors>
    <author>Gabriel Martin</author>
  </authors>
  <commentList>
    <comment ref="B42" authorId="0" shapeId="0">
      <text>
        <r>
          <rPr>
            <b/>
            <sz val="9"/>
            <color indexed="81"/>
            <rFont val="Tahoma"/>
            <family val="2"/>
          </rPr>
          <t>Gabriel Martin: NO CURSA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Gabriel Martin: NO CURSA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Gabriel Martin</author>
  </authors>
  <commentList>
    <comment ref="A43" authorId="0" shapeId="0">
      <text>
        <r>
          <rPr>
            <b/>
            <sz val="9"/>
            <color indexed="81"/>
            <rFont val="Tahoma"/>
            <family val="2"/>
          </rPr>
          <t>Gabriel Martin: NO CURSA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4" authorId="0" shapeId="0">
      <text>
        <r>
          <rPr>
            <b/>
            <sz val="9"/>
            <color indexed="81"/>
            <rFont val="Tahoma"/>
            <family val="2"/>
          </rPr>
          <t>Gabriel Martin: NO CURSA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2" description="Conexión a la consulta 'Tabla2' en el libro." type="5" refreshedVersion="8" background="1" saveData="1">
    <dbPr connection="Provider=Microsoft.Mashup.OleDb.1;Data Source=$Workbook$;Location=Tabla2;Extended Properties=&quot;&quot;" command="SELECT * FROM [Tabla2]"/>
  </connection>
</connections>
</file>

<file path=xl/sharedStrings.xml><?xml version="1.0" encoding="utf-8"?>
<sst xmlns="http://schemas.openxmlformats.org/spreadsheetml/2006/main" count="1449" uniqueCount="743">
  <si>
    <t>Cohorte</t>
  </si>
  <si>
    <t>Legajo</t>
  </si>
  <si>
    <t>Apellido y Nombre</t>
  </si>
  <si>
    <t>S</t>
  </si>
  <si>
    <t>Fecha de Nac</t>
  </si>
  <si>
    <t>Edad</t>
  </si>
  <si>
    <t>Tipo DNI</t>
  </si>
  <si>
    <t>Nro DNI</t>
  </si>
  <si>
    <t>Telefono</t>
  </si>
  <si>
    <t>Folio:</t>
  </si>
  <si>
    <t>Libro Matriz:</t>
  </si>
  <si>
    <t>PRIMER AÑO</t>
  </si>
  <si>
    <t>SEGUNDO AÑO</t>
  </si>
  <si>
    <t>Libro</t>
  </si>
  <si>
    <t>Folio</t>
  </si>
  <si>
    <t>Acta</t>
  </si>
  <si>
    <t>Nota</t>
  </si>
  <si>
    <t>Letras</t>
  </si>
  <si>
    <t>Día</t>
  </si>
  <si>
    <t>Mes</t>
  </si>
  <si>
    <t>Año</t>
  </si>
  <si>
    <t>Número</t>
  </si>
  <si>
    <t>Legajo:</t>
  </si>
  <si>
    <t>Tipo Doc.:</t>
  </si>
  <si>
    <t>Nro. Doc.:</t>
  </si>
  <si>
    <t>Fecha de Nacimiento:</t>
  </si>
  <si>
    <t>Lugar de Nacimiento:</t>
  </si>
  <si>
    <t>Teléfono:</t>
  </si>
  <si>
    <t>Título Habilitante:</t>
  </si>
  <si>
    <t>TERCER AÑO</t>
  </si>
  <si>
    <t>Firma</t>
  </si>
  <si>
    <t>Promedio General:</t>
  </si>
  <si>
    <t>Nomb</t>
  </si>
  <si>
    <t>Tel</t>
  </si>
  <si>
    <t>Leg</t>
  </si>
  <si>
    <t>Estado</t>
  </si>
  <si>
    <t>Lnac1</t>
  </si>
  <si>
    <t>Departamento</t>
  </si>
  <si>
    <t>Provincia</t>
  </si>
  <si>
    <t>Ciudad/Pueblo</t>
  </si>
  <si>
    <t>Pais</t>
  </si>
  <si>
    <t>Argentina</t>
  </si>
  <si>
    <t xml:space="preserve"> </t>
  </si>
  <si>
    <t>Tbase</t>
  </si>
  <si>
    <t>Tdoc</t>
  </si>
  <si>
    <t>Ndoc</t>
  </si>
  <si>
    <t>Fnac</t>
  </si>
  <si>
    <t>Práctica Profesionalizante I</t>
  </si>
  <si>
    <t>SI = MATRICULADO 2013</t>
  </si>
  <si>
    <t>SI</t>
  </si>
  <si>
    <t>D.N.I</t>
  </si>
  <si>
    <t>Sistemas y Organizaciones</t>
  </si>
  <si>
    <t>Programación I</t>
  </si>
  <si>
    <t>Base de Datos</t>
  </si>
  <si>
    <t>Programación II</t>
  </si>
  <si>
    <t>Redes</t>
  </si>
  <si>
    <t>Programación III</t>
  </si>
  <si>
    <t>CALIFICACIONES PRIMER AÑO</t>
  </si>
  <si>
    <t>Establecimiento</t>
  </si>
  <si>
    <t>ASIGNATURAS</t>
  </si>
  <si>
    <t>Condición</t>
  </si>
  <si>
    <t>Sede</t>
  </si>
  <si>
    <t>Reg/Prom/Libre</t>
  </si>
  <si>
    <t>Fecha</t>
  </si>
  <si>
    <t>Nota N°</t>
  </si>
  <si>
    <t>Texa</t>
  </si>
  <si>
    <t>CALIFICACIONES SEGUNDO AÑO</t>
  </si>
  <si>
    <t>CALIFICACIONES TERCER AÑO</t>
  </si>
  <si>
    <t>Práctica Profesionalizante II</t>
  </si>
  <si>
    <t>Fotocopia DNI</t>
  </si>
  <si>
    <t>CUIL</t>
  </si>
  <si>
    <t>Analitico y Título</t>
  </si>
  <si>
    <t>Partida de Nacimiento</t>
  </si>
  <si>
    <t>CUS</t>
  </si>
  <si>
    <t>Cuota 1</t>
  </si>
  <si>
    <t>Cuota 2</t>
  </si>
  <si>
    <t>Cuota 3</t>
  </si>
  <si>
    <t xml:space="preserve">FOTOS 4X4 </t>
  </si>
  <si>
    <t>CENTRAL / NORTE</t>
  </si>
  <si>
    <t>Ciud. Ddto. Prov. Pais.</t>
  </si>
  <si>
    <t>Aprobado el:</t>
  </si>
  <si>
    <t>M</t>
  </si>
  <si>
    <t>Cordoba, Capital, Cordoba, Argentina</t>
  </si>
  <si>
    <t>ds22.cuevas.ezequiel@gmail.com</t>
  </si>
  <si>
    <t>F</t>
  </si>
  <si>
    <t>Jujuy</t>
  </si>
  <si>
    <t>Para constancia y a petición del/la interesado/a se expide el presente para ser presentado a los fines que hubiere lugar, sin raspaduras ni enmiendas en la ciudad de Córdoba de la Provincia de Córdoba, República Argentina.</t>
  </si>
  <si>
    <t xml:space="preserve">Certifico que el/la estudiante mencionado/a ha aprobado los espacios curriculares que se detallan a continuación De la Carrera Tecnicatura Superior en Desarrollo de Software (Res 462/12)  </t>
  </si>
  <si>
    <t>Certifico que el/la estudiante mencionado/a cursa en carácter de REGULAR, la Tecnicatura Superior en Desarrollo de Software (Res 462/12)  y ha aprobado los espacios curriculares que se detallan a continuación:</t>
  </si>
  <si>
    <t>CERTIFICADO MATERIAS APROBADAS - ESTUDIANTE EGRESADO</t>
  </si>
  <si>
    <t>CERTIFICADO MATERIAS APROBADAS - ESTUDIANTE REGULAR</t>
  </si>
  <si>
    <t>Certifico que el estudiante mencionado ha finalizado los estudios correspondientes a la Carrera de Técnico Superior en Desarrollo de Software  (Res  462/12 ), obteniendo en cada espacio curricular las calificaciones que se detallan a continuación, encontrándose su Certificado Analítico en trámite:</t>
  </si>
  <si>
    <r>
      <rPr>
        <b/>
        <sz val="10"/>
        <rFont val="Tahoma"/>
        <family val="2"/>
      </rPr>
      <t>REPUBLICA ARGENTINA</t>
    </r>
    <r>
      <rPr>
        <sz val="10"/>
        <rFont val="Tahoma"/>
        <family val="2"/>
      </rPr>
      <t xml:space="preserve">
LEY DE EDUCACION NACIONAL Nº 26.206
</t>
    </r>
    <r>
      <rPr>
        <b/>
        <sz val="10"/>
        <rFont val="Tahoma"/>
        <family val="2"/>
      </rPr>
      <t>MINISTERIO DE EDUCACION DE LA PROVINCIA DE CORDOBA</t>
    </r>
    <r>
      <rPr>
        <sz val="10"/>
        <rFont val="Tahoma"/>
        <family val="2"/>
      </rPr>
      <t xml:space="preserve">
LEY DE EDUCACION PROVINCIAL N.º 8113 
</t>
    </r>
    <r>
      <rPr>
        <b/>
        <sz val="10"/>
        <rFont val="Tahoma"/>
        <family val="2"/>
      </rPr>
      <t>DIRECCION GENERAL DE EDUCACION TÉCNICA Y FORMACIÓN PROFESIONAL</t>
    </r>
  </si>
  <si>
    <t>Instituto Técnico Superior Córdoba</t>
  </si>
  <si>
    <t>CERTIFICADO MATERIAS APROBADAS - O</t>
  </si>
  <si>
    <t>SISTEMA OPERATIVO</t>
  </si>
  <si>
    <t>INTERFAZ DE USUARIO</t>
  </si>
  <si>
    <t>ies2fa</t>
  </si>
  <si>
    <t>iec3fa</t>
  </si>
  <si>
    <t>Tipo de Documento</t>
  </si>
  <si>
    <t>ies2fea</t>
  </si>
  <si>
    <t>iec3fea</t>
  </si>
  <si>
    <t>Numero de Documento</t>
  </si>
  <si>
    <t>ies2la</t>
  </si>
  <si>
    <t>iec3la</t>
  </si>
  <si>
    <t>Fecha de Nacimiento</t>
  </si>
  <si>
    <t>ies2nl</t>
  </si>
  <si>
    <t>Numero en letras</t>
  </si>
  <si>
    <t>iec3nl</t>
  </si>
  <si>
    <t>Lugar de Nacimiento (Localidad/</t>
  </si>
  <si>
    <t>ies2nn</t>
  </si>
  <si>
    <t>Numero en Natural</t>
  </si>
  <si>
    <t>iec3nn</t>
  </si>
  <si>
    <t>ies2Tex</t>
  </si>
  <si>
    <t>Condicion de la Materia (Prom./Reg/ Libre/Equiv.)</t>
  </si>
  <si>
    <t>iec3Tex</t>
  </si>
  <si>
    <t>Thab</t>
  </si>
  <si>
    <t>Titulo Habilitante; ( titulo, Intitutucion, Plan de estudio)</t>
  </si>
  <si>
    <t>MATEMATICA APLICADA</t>
  </si>
  <si>
    <t>REDES</t>
  </si>
  <si>
    <t>MATEMATICA Y LOGICA</t>
  </si>
  <si>
    <t>eyc2fa</t>
  </si>
  <si>
    <t>pd33fa</t>
  </si>
  <si>
    <t>sse1fa</t>
  </si>
  <si>
    <t>eyc2fea</t>
  </si>
  <si>
    <t>pd33fea</t>
  </si>
  <si>
    <t>sse1fea</t>
  </si>
  <si>
    <t>eyc2la</t>
  </si>
  <si>
    <t>pd33la</t>
  </si>
  <si>
    <t>sse1la</t>
  </si>
  <si>
    <t>eyc2nl</t>
  </si>
  <si>
    <t>pd33nl</t>
  </si>
  <si>
    <t>sse1nl</t>
  </si>
  <si>
    <t>eyc2nn</t>
  </si>
  <si>
    <t>pd33nn</t>
  </si>
  <si>
    <t>sse1nn</t>
  </si>
  <si>
    <t>eyc2Tex</t>
  </si>
  <si>
    <t>pd33Tex</t>
  </si>
  <si>
    <t>sse1Tex</t>
  </si>
  <si>
    <t>MODELADO DE SISTEMAS</t>
  </si>
  <si>
    <t>INGENIERIA DE SOFTWARE</t>
  </si>
  <si>
    <t>SISTEMA Y ORGANIZACIONES</t>
  </si>
  <si>
    <t>pd22fa</t>
  </si>
  <si>
    <t>sct3fa</t>
  </si>
  <si>
    <t>apr1fa</t>
  </si>
  <si>
    <t>pd22fea</t>
  </si>
  <si>
    <t>sct3fea</t>
  </si>
  <si>
    <t>apr1fea</t>
  </si>
  <si>
    <t>pd22la</t>
  </si>
  <si>
    <t>sct3la</t>
  </si>
  <si>
    <t>apr1la</t>
  </si>
  <si>
    <t>pd22nl</t>
  </si>
  <si>
    <t>sct3nl</t>
  </si>
  <si>
    <t>apr1nl</t>
  </si>
  <si>
    <t>pd22nn</t>
  </si>
  <si>
    <t>sct3nn</t>
  </si>
  <si>
    <t>apr1nn</t>
  </si>
  <si>
    <t>pd22Tex</t>
  </si>
  <si>
    <t>sct3Tex</t>
  </si>
  <si>
    <t>apr1Tex</t>
  </si>
  <si>
    <t>PROGRAMACION II</t>
  </si>
  <si>
    <t>PROGRAMACION III</t>
  </si>
  <si>
    <t>ARQUITECTURA DE LAS COMPUTADORAS</t>
  </si>
  <si>
    <t>ma22fa</t>
  </si>
  <si>
    <t>epr3fa</t>
  </si>
  <si>
    <t>pd11fa</t>
  </si>
  <si>
    <t>ma22fea</t>
  </si>
  <si>
    <t>epr3fea</t>
  </si>
  <si>
    <t>pd11fea</t>
  </si>
  <si>
    <t>ma22la</t>
  </si>
  <si>
    <t>epr3la</t>
  </si>
  <si>
    <t>pd11la</t>
  </si>
  <si>
    <t>ma22nl</t>
  </si>
  <si>
    <t>epr3nl</t>
  </si>
  <si>
    <t>pd11nl</t>
  </si>
  <si>
    <t>ma22nn</t>
  </si>
  <si>
    <t>epr3nn</t>
  </si>
  <si>
    <t>pd11nn</t>
  </si>
  <si>
    <t>ma22Tex</t>
  </si>
  <si>
    <t>epr3Tex</t>
  </si>
  <si>
    <t>pd11Tex</t>
  </si>
  <si>
    <t xml:space="preserve">BASE DE DATOS </t>
  </si>
  <si>
    <t>VALIDACION Y VERIFICACION DE PROGRAMAS</t>
  </si>
  <si>
    <t>PROGRAMACION I</t>
  </si>
  <si>
    <t>fi22fa</t>
  </si>
  <si>
    <t>gsp3fa</t>
  </si>
  <si>
    <t>ma11fa</t>
  </si>
  <si>
    <t>fi22fea</t>
  </si>
  <si>
    <t>gsp3fea</t>
  </si>
  <si>
    <t>ma11fea</t>
  </si>
  <si>
    <t>fi22la</t>
  </si>
  <si>
    <t>gsp3la</t>
  </si>
  <si>
    <t>ma11la</t>
  </si>
  <si>
    <t>fi22nl</t>
  </si>
  <si>
    <t>gsp3nl</t>
  </si>
  <si>
    <t>ma11nl</t>
  </si>
  <si>
    <t>fi22nn</t>
  </si>
  <si>
    <t>gsp3nn</t>
  </si>
  <si>
    <t>ma11nn</t>
  </si>
  <si>
    <t>fi22Tex</t>
  </si>
  <si>
    <t>gsp3Tex</t>
  </si>
  <si>
    <t>ma11Tex</t>
  </si>
  <si>
    <t>PRACTICA PROFECIONALIZANTE I</t>
  </si>
  <si>
    <t>ETICA Y DEONTOLOGIA PROFESIONAL</t>
  </si>
  <si>
    <t>INGLES</t>
  </si>
  <si>
    <t>sir2fa</t>
  </si>
  <si>
    <t>ste3fa</t>
  </si>
  <si>
    <t>ing1fa</t>
  </si>
  <si>
    <t>sir2fea</t>
  </si>
  <si>
    <t>ste3fea</t>
  </si>
  <si>
    <t>ing1fe</t>
  </si>
  <si>
    <t>sir2la</t>
  </si>
  <si>
    <t>ste3la</t>
  </si>
  <si>
    <t>ing1la</t>
  </si>
  <si>
    <t>sir2nl</t>
  </si>
  <si>
    <t>ste3nl</t>
  </si>
  <si>
    <t>ing1nl</t>
  </si>
  <si>
    <t>sir2nn</t>
  </si>
  <si>
    <t>ste3nn</t>
  </si>
  <si>
    <t>ing1nn</t>
  </si>
  <si>
    <t>sir2Tex</t>
  </si>
  <si>
    <t>ste3Tex</t>
  </si>
  <si>
    <t>ing1Tex</t>
  </si>
  <si>
    <t>PRACTICA PROFECIONALIZANTE II</t>
  </si>
  <si>
    <t>LENGUA Y COMUNICACIÓN</t>
  </si>
  <si>
    <t>spb3fa</t>
  </si>
  <si>
    <t>qui1fa</t>
  </si>
  <si>
    <t>spb3fea</t>
  </si>
  <si>
    <t>qui1fea</t>
  </si>
  <si>
    <t>spb3la</t>
  </si>
  <si>
    <t>qui1la</t>
  </si>
  <si>
    <t>spb3nl</t>
  </si>
  <si>
    <t>qui1nl</t>
  </si>
  <si>
    <t>spb3nn</t>
  </si>
  <si>
    <t>qui1nn</t>
  </si>
  <si>
    <t>spb3Tex</t>
  </si>
  <si>
    <t>qui1Tex</t>
  </si>
  <si>
    <t>MATERIAS</t>
  </si>
  <si>
    <t>AÑOS</t>
  </si>
  <si>
    <t>Tecnicatura Superior en Enfermeria</t>
  </si>
  <si>
    <t>Tecnicatura Superior en Optica y Contactologia</t>
  </si>
  <si>
    <t>TECNICATURAS</t>
  </si>
  <si>
    <t>Elementos de matemática y lógica</t>
  </si>
  <si>
    <t>TELEFONO</t>
  </si>
  <si>
    <t xml:space="preserve">Fecha limite de pago </t>
  </si>
  <si>
    <t>COSTO DE INSCRIPCION</t>
  </si>
  <si>
    <t>PAGOS RECIBIDOS</t>
  </si>
  <si>
    <t>SALDO</t>
  </si>
  <si>
    <t>Estatus de fecha de Vencimientos</t>
  </si>
  <si>
    <t>Mensaje</t>
  </si>
  <si>
    <t>Enviar Alerta</t>
  </si>
  <si>
    <r>
      <rPr>
        <b/>
        <sz val="8"/>
        <rFont val="Arial"/>
        <family val="2"/>
      </rPr>
      <t>Nro Doc</t>
    </r>
  </si>
  <si>
    <t>SEDE</t>
  </si>
  <si>
    <t>RIO NEGRO 77</t>
  </si>
  <si>
    <t>+5493512230576</t>
  </si>
  <si>
    <t>*</t>
  </si>
  <si>
    <t>Columna1</t>
  </si>
  <si>
    <t>APELLIDO</t>
  </si>
  <si>
    <t>NOMBRE</t>
  </si>
  <si>
    <t>NOMBRES</t>
  </si>
  <si>
    <t>APELLIDOS</t>
  </si>
  <si>
    <t>AGUERO TEJEDA</t>
  </si>
  <si>
    <t>AGUILAR</t>
  </si>
  <si>
    <t>ALTAMIRANO</t>
  </si>
  <si>
    <t>AMAYA VIETTA</t>
  </si>
  <si>
    <t>ARCO MARTINEZ</t>
  </si>
  <si>
    <t>ARENCIO VELASQUEZ</t>
  </si>
  <si>
    <t>ARIAS</t>
  </si>
  <si>
    <t>ARTINO</t>
  </si>
  <si>
    <t>BONETTO</t>
  </si>
  <si>
    <t>BRACAMONTE QUINTEROS</t>
  </si>
  <si>
    <t>CABRERA</t>
  </si>
  <si>
    <t>CASAS</t>
  </si>
  <si>
    <t>CHIAPPO MAZA</t>
  </si>
  <si>
    <t>CONTRERAS</t>
  </si>
  <si>
    <t>CORDERO ARIZA</t>
  </si>
  <si>
    <t>CUEVAS</t>
  </si>
  <si>
    <t>DOMINGUEZ BERMUDEZ</t>
  </si>
  <si>
    <t>DELGADO BARRERA</t>
  </si>
  <si>
    <t>DEPETRIS</t>
  </si>
  <si>
    <t>FARIAS</t>
  </si>
  <si>
    <t>FERREYRA RODRIGUEZ</t>
  </si>
  <si>
    <t>GAGGERO</t>
  </si>
  <si>
    <t>GIMENEZ</t>
  </si>
  <si>
    <t>GIORDA</t>
  </si>
  <si>
    <t>GUAYAN</t>
  </si>
  <si>
    <t>GUTIERREZ</t>
  </si>
  <si>
    <t>HERNANDEZ ZAKKA</t>
  </si>
  <si>
    <t>LAMAS</t>
  </si>
  <si>
    <t>MONTOYA</t>
  </si>
  <si>
    <t>MONJES</t>
  </si>
  <si>
    <t>MORATALLA</t>
  </si>
  <si>
    <t>NIETO BERNAL</t>
  </si>
  <si>
    <t>OLMO</t>
  </si>
  <si>
    <t>PACHECO</t>
  </si>
  <si>
    <t>PADILLA</t>
  </si>
  <si>
    <t>PARIATON RODRIGUEZ</t>
  </si>
  <si>
    <t>PEREYRA</t>
  </si>
  <si>
    <t>PIÑERO</t>
  </si>
  <si>
    <t>RESTIVO</t>
  </si>
  <si>
    <t>RIZZO</t>
  </si>
  <si>
    <t>RUIZ FERNANDEZ</t>
  </si>
  <si>
    <t>SAN MARTIN</t>
  </si>
  <si>
    <t>SANCHEZ</t>
  </si>
  <si>
    <t>SCFCHESIK</t>
  </si>
  <si>
    <t>SEFARINI</t>
  </si>
  <si>
    <t>SPONTON</t>
  </si>
  <si>
    <t>ZAMBRANA</t>
  </si>
  <si>
    <t>ZANETTA</t>
  </si>
  <si>
    <t>ZANETTA GARRIDO</t>
  </si>
  <si>
    <t>ROCIO AYELEN</t>
  </si>
  <si>
    <t>IVAN LIONEL</t>
  </si>
  <si>
    <t>JEREMIAS JOAQUIN</t>
  </si>
  <si>
    <t>VICTOR LEONEL AGUSTIN</t>
  </si>
  <si>
    <t>LAUTARO GABRIEL</t>
  </si>
  <si>
    <t>MANUEL AGUSTIN</t>
  </si>
  <si>
    <t>TOMAS EZEQUIEL</t>
  </si>
  <si>
    <t>KARLA ALEXANDRA</t>
  </si>
  <si>
    <t>LUCIA ANABEL</t>
  </si>
  <si>
    <t>LUCIA PILAR</t>
  </si>
  <si>
    <t>MATEO</t>
  </si>
  <si>
    <t>MATIAS IGNACIO</t>
  </si>
  <si>
    <t>MAURO NAIM</t>
  </si>
  <si>
    <t>GABRIEL NICOLAS</t>
  </si>
  <si>
    <t>MARIA VALENTINA</t>
  </si>
  <si>
    <t>LEONARDO NAHUEL</t>
  </si>
  <si>
    <t>MELANI AGOSTINA</t>
  </si>
  <si>
    <t>LEONARDO EZEQUIEL</t>
  </si>
  <si>
    <t>JULIETA JAZMIN</t>
  </si>
  <si>
    <t>LAUTARO BENJAMIN</t>
  </si>
  <si>
    <t>TIAGO PAZ</t>
  </si>
  <si>
    <t>GINO VALENTIN</t>
  </si>
  <si>
    <t>FERNANDO NICOLAS</t>
  </si>
  <si>
    <t>STEFANO LUCA</t>
  </si>
  <si>
    <t>LUCAS EMANUEL</t>
  </si>
  <si>
    <t>MARIA LOURDES</t>
  </si>
  <si>
    <t>LAUTARO SEBASTIAN</t>
  </si>
  <si>
    <t>PABLO EXEQUIEL</t>
  </si>
  <si>
    <t>MARIANO GABRIEL</t>
  </si>
  <si>
    <t>FACUNDO EZEQUIEL</t>
  </si>
  <si>
    <t>SOFIA LORENA</t>
  </si>
  <si>
    <t>MARIANELA INES</t>
  </si>
  <si>
    <t>PAULA GRACIELA</t>
  </si>
  <si>
    <t>LUCAS</t>
  </si>
  <si>
    <t>AGOSTINA DANIELA</t>
  </si>
  <si>
    <t>FRANCISCO ALEJANDRO</t>
  </si>
  <si>
    <t>LUCAS NAHUEL</t>
  </si>
  <si>
    <t>JANELITH ELIZABETH</t>
  </si>
  <si>
    <t>FACUNDO</t>
  </si>
  <si>
    <t>VALENTIN</t>
  </si>
  <si>
    <t>FRANCISCO</t>
  </si>
  <si>
    <t>JORGE RICARDO JAVIER</t>
  </si>
  <si>
    <t>CARLOS YOEL</t>
  </si>
  <si>
    <t>FIORELLA BELEN</t>
  </si>
  <si>
    <t>TOMAS</t>
  </si>
  <si>
    <t>LOURDES CANDELARIA</t>
  </si>
  <si>
    <t>JUAN PABLO</t>
  </si>
  <si>
    <t>SANTIAGO NICOLAS</t>
  </si>
  <si>
    <t>SONIA EMA</t>
  </si>
  <si>
    <t>ALEJO</t>
  </si>
  <si>
    <t>CLAUDIO SEBASTIAN</t>
  </si>
  <si>
    <t>BRUNO GIOVANNI</t>
  </si>
  <si>
    <t>GLORIA INEZ</t>
  </si>
  <si>
    <t>VICTOR HUGO</t>
  </si>
  <si>
    <t>ANDRES NICOLAS</t>
  </si>
  <si>
    <t>roropiroro004@gmail.com</t>
  </si>
  <si>
    <t>ivan-aguilar@hotmail.com.ar</t>
  </si>
  <si>
    <t>joaquinaltamirano1221@gmail.com</t>
  </si>
  <si>
    <t>altamirano.leonel16@gmail.com</t>
  </si>
  <si>
    <t>laugvietta@gmail.com</t>
  </si>
  <si>
    <t>manuelarco253@gmail.com</t>
  </si>
  <si>
    <t>tomexarroyo12@gmail.com</t>
  </si>
  <si>
    <t>karlaarencio@hotmail.com</t>
  </si>
  <si>
    <t>luciaarias0912@gmail.com</t>
  </si>
  <si>
    <t>pilyartino@gmail.com</t>
  </si>
  <si>
    <t>rodrigobonetto655@gmail.com</t>
  </si>
  <si>
    <t>matiasbracamontedelaresi@gmail.com</t>
  </si>
  <si>
    <t>maurocabricci17@gmail.com</t>
  </si>
  <si>
    <t>gcasas132@gmail.com</t>
  </si>
  <si>
    <t>mazamariap@gmail.com</t>
  </si>
  <si>
    <t>leo8292014@hotmail.com</t>
  </si>
  <si>
    <t>agoscordero.cba@gmail.com</t>
  </si>
  <si>
    <t>bermudezjulieta90@gmail.com</t>
  </si>
  <si>
    <t>lautidelgado255@gmail.com</t>
  </si>
  <si>
    <t>depetristiago11@gmail.com</t>
  </si>
  <si>
    <t>fariasgino@yahoo.com</t>
  </si>
  <si>
    <t>f.fernandonicolas@live.com.ar</t>
  </si>
  <si>
    <t>stefanolucagaggero@gmail.com</t>
  </si>
  <si>
    <t>gimenezlucas0426@gmail.com</t>
  </si>
  <si>
    <t>luligiorda025@gmail.com</t>
  </si>
  <si>
    <t>lautyguayan1903@gmail.com</t>
  </si>
  <si>
    <t>pablo.e.gutierrez@outlook.com</t>
  </si>
  <si>
    <t>master16.mh@gmail.com</t>
  </si>
  <si>
    <t>HECLAMAS@GMAIL.COM</t>
  </si>
  <si>
    <t>lautaromontoya1@gmail.com</t>
  </si>
  <si>
    <t>sofiamonjes91@gmail.com</t>
  </si>
  <si>
    <t>marianelamoratalla7@gmail.com</t>
  </si>
  <si>
    <t>paulamoratalla34@gmail.com</t>
  </si>
  <si>
    <t>lucasnieto216@gmail.com</t>
  </si>
  <si>
    <t>agos.olmo@gmail.com</t>
  </si>
  <si>
    <t>pachecofrank683@gmail.com</t>
  </si>
  <si>
    <t>AVALOS-MORA@HOTMAIL.COM.AR</t>
  </si>
  <si>
    <t>janeelizarodriguez@gmail.com</t>
  </si>
  <si>
    <t>ds23.pereyra.facundo@gmail.com</t>
  </si>
  <si>
    <t>valenpe3144kjos@gmail.com</t>
  </si>
  <si>
    <t>franpinero11@gmail.com</t>
  </si>
  <si>
    <t>jorge.pinero@cba.gov.ar</t>
  </si>
  <si>
    <t>yoelrestivo@gmail.com</t>
  </si>
  <si>
    <t>Fiorerizzo6@gmail.com</t>
  </si>
  <si>
    <t>tomasrizzo194@gmail.com</t>
  </si>
  <si>
    <t>louuruiz1@gmail.com</t>
  </si>
  <si>
    <t>juampirox_20173@yahoo.com</t>
  </si>
  <si>
    <t>santi2005531@gmail.com</t>
  </si>
  <si>
    <t>schlmechersonia@hotmail.com</t>
  </si>
  <si>
    <t>alejoscfchesik@gmail.com</t>
  </si>
  <si>
    <t>serafiniclaudio1986@gmail.com</t>
  </si>
  <si>
    <t>brunosponton1@gmail.com</t>
  </si>
  <si>
    <t>gloriamedeiros324@gmail.com</t>
  </si>
  <si>
    <t>victorhzanetta@gmail.com</t>
  </si>
  <si>
    <t>andresnicolaszanetta@gmail.com</t>
  </si>
  <si>
    <t>27-42384732-3</t>
  </si>
  <si>
    <t>Cordoba</t>
  </si>
  <si>
    <t>Bachiller en Informatica.-I.P.E.M. N° 10 "ROMA"-Plan de estudio: Resol min N° 344/11 y N°668/11</t>
  </si>
  <si>
    <t>20-40521466-1</t>
  </si>
  <si>
    <t>+5493516479533</t>
  </si>
  <si>
    <t>+5493517176960</t>
  </si>
  <si>
    <t>Bachiller en Economia y Administracion-I.P.E.M. N° 123 "BLANCA ETCEMENDY"-Plan de estudio: Decreto 141/96 Resol min N° 344/11 y N°668/11</t>
  </si>
  <si>
    <t>20-46221677-8</t>
  </si>
  <si>
    <t>+5493513444535</t>
  </si>
  <si>
    <t>CERTIFICADO DE TITULO EN TRAMITE Bachiller orientado en Informatica.-I.P.E.M. N° 10 "ROMA"-Plan de estudio: Resol min N° 344/11 y N°668/11</t>
  </si>
  <si>
    <t>20-46973712-9</t>
  </si>
  <si>
    <t>+5493513563549</t>
  </si>
  <si>
    <t>20-45081692-3</t>
  </si>
  <si>
    <t>+5493517493179</t>
  </si>
  <si>
    <t>NO</t>
  </si>
  <si>
    <t>20-45082410-1</t>
  </si>
  <si>
    <t>+5493513706051</t>
  </si>
  <si>
    <t>2745407028-9</t>
  </si>
  <si>
    <t>+5493512545877</t>
  </si>
  <si>
    <t>+5493517620854</t>
  </si>
  <si>
    <t>27-18897899-7</t>
  </si>
  <si>
    <t>Arequipa</t>
  </si>
  <si>
    <t>Cerro Colorado</t>
  </si>
  <si>
    <t>Cerro Colorado, Arequipa, Perú</t>
  </si>
  <si>
    <t>Perú</t>
  </si>
  <si>
    <t>20-45934085-9</t>
  </si>
  <si>
    <t>+5493518038384</t>
  </si>
  <si>
    <t>27-45089231-4</t>
  </si>
  <si>
    <t>+5493547586568</t>
  </si>
  <si>
    <t>Alta gracia,Santa Maria,Cordoba,Argentina</t>
  </si>
  <si>
    <t>Santa Maria</t>
  </si>
  <si>
    <t>20-46223027-4</t>
  </si>
  <si>
    <t>+5493518047319</t>
  </si>
  <si>
    <t>20-45404370-8</t>
  </si>
  <si>
    <t xml:space="preserve">Rio Segundo, Rio Segundo, Cordoba, Argentina </t>
  </si>
  <si>
    <t xml:space="preserve">Rio Segundo </t>
  </si>
  <si>
    <t>+5493585093856</t>
  </si>
  <si>
    <t>20-45348968-0</t>
  </si>
  <si>
    <t>+5493512228836</t>
  </si>
  <si>
    <t>20-40208254-3</t>
  </si>
  <si>
    <t>+5492975207696</t>
  </si>
  <si>
    <t>Sarmiento, Chubut, Argentina</t>
  </si>
  <si>
    <t>Sarmiento</t>
  </si>
  <si>
    <t>Chubut</t>
  </si>
  <si>
    <t>23-45348957-4</t>
  </si>
  <si>
    <t>+5493516091760</t>
  </si>
  <si>
    <t>20-40438829-8</t>
  </si>
  <si>
    <t>+5493515914475</t>
  </si>
  <si>
    <t>27-42336890-5</t>
  </si>
  <si>
    <t>+5493512453131</t>
  </si>
  <si>
    <t>20-44693997-2</t>
  </si>
  <si>
    <t>20-46310005-6</t>
  </si>
  <si>
    <t>+5493517048709</t>
  </si>
  <si>
    <t>+5493513111977</t>
  </si>
  <si>
    <t>27-46452354-0</t>
  </si>
  <si>
    <t>+5493515634204</t>
  </si>
  <si>
    <t>2041002204-5</t>
  </si>
  <si>
    <t>+5493512203177</t>
  </si>
  <si>
    <t>27-45700694-8</t>
  </si>
  <si>
    <t>+5493572403100</t>
  </si>
  <si>
    <t>Rio Segundo, Rio Segundo, Cordoba, Argentina</t>
  </si>
  <si>
    <t>20-44767426-3</t>
  </si>
  <si>
    <t>+5493516108817</t>
  </si>
  <si>
    <t>27-46591510-6</t>
  </si>
  <si>
    <t>+5493534014935</t>
  </si>
  <si>
    <t>Hernando, Tercero Arriba, Cordoba, Argentina</t>
  </si>
  <si>
    <t>Tercero Arriba</t>
  </si>
  <si>
    <t>23-44872678-9</t>
  </si>
  <si>
    <t>+5493516597505</t>
  </si>
  <si>
    <t>CUIL2</t>
  </si>
  <si>
    <t>20-33600035-2</t>
  </si>
  <si>
    <t>+5493515407201</t>
  </si>
  <si>
    <t>+5493518690277</t>
  </si>
  <si>
    <t>20-43272179-4</t>
  </si>
  <si>
    <t>27-36145610-1</t>
  </si>
  <si>
    <t>+5493515067685</t>
  </si>
  <si>
    <t>20-45486420-5</t>
  </si>
  <si>
    <t>+5493512394469</t>
  </si>
  <si>
    <t>27-39056833-4</t>
  </si>
  <si>
    <t>+5493513530414</t>
  </si>
  <si>
    <t>27-40105729-9</t>
  </si>
  <si>
    <t>+5493518622502</t>
  </si>
  <si>
    <t>20-43880497-9</t>
  </si>
  <si>
    <t>+5493518160318</t>
  </si>
  <si>
    <t>27-46032114-5</t>
  </si>
  <si>
    <t>+5493518153908</t>
  </si>
  <si>
    <t>20-44971981-7</t>
  </si>
  <si>
    <t>+5493517386507</t>
  </si>
  <si>
    <t>20-45153597-9</t>
  </si>
  <si>
    <t>+5493515219046</t>
  </si>
  <si>
    <t>27-96034083-9</t>
  </si>
  <si>
    <t>+5493517566306</t>
  </si>
  <si>
    <t>San Martin, Huallaga, Piscoyacu Perú</t>
  </si>
  <si>
    <t>San Martin</t>
  </si>
  <si>
    <t>Huallaga</t>
  </si>
  <si>
    <t>20-41349092-9</t>
  </si>
  <si>
    <t>+5493516695165</t>
  </si>
  <si>
    <t>20-45690265-1</t>
  </si>
  <si>
    <t>+5493516332582</t>
  </si>
  <si>
    <t>20-4583299-4</t>
  </si>
  <si>
    <t>+5493515117094</t>
  </si>
  <si>
    <t>20-21696542-7</t>
  </si>
  <si>
    <t>Concepcion del Uruguay, Entre Rios, Argentina</t>
  </si>
  <si>
    <t>Concepcion del Uruguay</t>
  </si>
  <si>
    <t>Entre Rios</t>
  </si>
  <si>
    <t>20-45693658-0</t>
  </si>
  <si>
    <t>+5493513724465</t>
  </si>
  <si>
    <t>27-40249936-8</t>
  </si>
  <si>
    <t>+5493515210123</t>
  </si>
  <si>
    <t>20-43559569-4</t>
  </si>
  <si>
    <t>+5493516168271</t>
  </si>
  <si>
    <t>27-42107504-8</t>
  </si>
  <si>
    <t>+5493518052505</t>
  </si>
  <si>
    <t>20-20234617-1</t>
  </si>
  <si>
    <t>+5493513191955</t>
  </si>
  <si>
    <t>20-46033394-7</t>
  </si>
  <si>
    <t>+5493516350465</t>
  </si>
  <si>
    <t>27-17531067-9</t>
  </si>
  <si>
    <t>+5493517635290</t>
  </si>
  <si>
    <t>20-44272008-9</t>
  </si>
  <si>
    <t>+5493516704139</t>
  </si>
  <si>
    <t>20-32001451-5</t>
  </si>
  <si>
    <t>San pedro de Jujuy, San Pedro, Jujuy, Argentina</t>
  </si>
  <si>
    <t>San Pedro</t>
  </si>
  <si>
    <t>20-42338781-6</t>
  </si>
  <si>
    <t>Capilla del monte, Punilla; Cordoba, Argentina</t>
  </si>
  <si>
    <t>Punilla</t>
  </si>
  <si>
    <t>+54992944514652</t>
  </si>
  <si>
    <t>27-94089418-8</t>
  </si>
  <si>
    <t>+5493513222414</t>
  </si>
  <si>
    <t>Santa Cruz, Obispo Santiséban, Montero, Bolivia</t>
  </si>
  <si>
    <t>Santa Cruz</t>
  </si>
  <si>
    <t>Obispo Santistéban</t>
  </si>
  <si>
    <t>Bolivia</t>
  </si>
  <si>
    <t>20-22772377-8</t>
  </si>
  <si>
    <t>+5493517547803</t>
  </si>
  <si>
    <t>20-4458498-4</t>
  </si>
  <si>
    <t>+5493515909859</t>
  </si>
  <si>
    <t>DC-2023-40</t>
  </si>
  <si>
    <t>DC-2023-01</t>
  </si>
  <si>
    <t>DC-2023-02</t>
  </si>
  <si>
    <t>DC-2023-03</t>
  </si>
  <si>
    <t>DC-2023-04</t>
  </si>
  <si>
    <t>DC-2023-05</t>
  </si>
  <si>
    <t>DC-2023-06</t>
  </si>
  <si>
    <t>DC-2023-07</t>
  </si>
  <si>
    <t>DC-2023-08</t>
  </si>
  <si>
    <t>DC-2023-09</t>
  </si>
  <si>
    <t>DC-2023-10</t>
  </si>
  <si>
    <t>DC-2023-11</t>
  </si>
  <si>
    <t>DC-2023-12</t>
  </si>
  <si>
    <t>DC-2023-13</t>
  </si>
  <si>
    <t>DC-2023-14</t>
  </si>
  <si>
    <t>DC-2023-15</t>
  </si>
  <si>
    <t>DC-2023-16</t>
  </si>
  <si>
    <t>DC-2023-17</t>
  </si>
  <si>
    <t>DC-2023-18</t>
  </si>
  <si>
    <t>DC-2023-19</t>
  </si>
  <si>
    <t>DC-2023-20</t>
  </si>
  <si>
    <t>DC-2023-21</t>
  </si>
  <si>
    <t>DC-2023-22</t>
  </si>
  <si>
    <t>DC-2023-23</t>
  </si>
  <si>
    <t>DC-2023-24</t>
  </si>
  <si>
    <t>DC-2023-25</t>
  </si>
  <si>
    <t>DC-2023-26</t>
  </si>
  <si>
    <t>DC-2023-27</t>
  </si>
  <si>
    <t>DC-2023-28</t>
  </si>
  <si>
    <t>DC-2023-29</t>
  </si>
  <si>
    <t>DC-2023-30</t>
  </si>
  <si>
    <t>DC-2023-31</t>
  </si>
  <si>
    <t>DC-2023-32</t>
  </si>
  <si>
    <t>DC-2023-33</t>
  </si>
  <si>
    <t>DC-2023-34</t>
  </si>
  <si>
    <t>DC-2023-35</t>
  </si>
  <si>
    <t>DC-2023-36</t>
  </si>
  <si>
    <t>DC-2023-37</t>
  </si>
  <si>
    <t>DC-2023-38</t>
  </si>
  <si>
    <t>DC-2023-39</t>
  </si>
  <si>
    <t>DC-2023-41</t>
  </si>
  <si>
    <t>DC-2023-42</t>
  </si>
  <si>
    <t>DC-2023-43</t>
  </si>
  <si>
    <t>DC-2023-44</t>
  </si>
  <si>
    <t>DC-2023-45</t>
  </si>
  <si>
    <t>DC-2023-46</t>
  </si>
  <si>
    <t>DC-2023-47</t>
  </si>
  <si>
    <t>DC-2023-48</t>
  </si>
  <si>
    <t>DC-2023-49</t>
  </si>
  <si>
    <t>DC-2023-50</t>
  </si>
  <si>
    <t>DC-2023-51</t>
  </si>
  <si>
    <t>DC-2023-52</t>
  </si>
  <si>
    <t>DC-2023-53</t>
  </si>
  <si>
    <t>DC-2023-54</t>
  </si>
  <si>
    <t>DC-2023-55</t>
  </si>
  <si>
    <t>DC-2023-56</t>
  </si>
  <si>
    <t>Libro2</t>
  </si>
  <si>
    <t>Folio3</t>
  </si>
  <si>
    <t>Fecha4</t>
  </si>
  <si>
    <t>Nota N°5</t>
  </si>
  <si>
    <t>Letras6</t>
  </si>
  <si>
    <t>Texa7</t>
  </si>
  <si>
    <t>Libro8</t>
  </si>
  <si>
    <t>Folio9</t>
  </si>
  <si>
    <t>Fecha10</t>
  </si>
  <si>
    <t>Nota N°11</t>
  </si>
  <si>
    <t>Letras12</t>
  </si>
  <si>
    <t>Texa13</t>
  </si>
  <si>
    <t>Libro14</t>
  </si>
  <si>
    <t>Folio15</t>
  </si>
  <si>
    <t>Fecha16</t>
  </si>
  <si>
    <t>Nota N°17</t>
  </si>
  <si>
    <t>Letras18</t>
  </si>
  <si>
    <t>Texa19</t>
  </si>
  <si>
    <t>Libro20</t>
  </si>
  <si>
    <t>Folio21</t>
  </si>
  <si>
    <t>Fecha22</t>
  </si>
  <si>
    <t>Nota N°23</t>
  </si>
  <si>
    <t>Letras24</t>
  </si>
  <si>
    <t>Texa25</t>
  </si>
  <si>
    <t>Libro26</t>
  </si>
  <si>
    <t>Folio27</t>
  </si>
  <si>
    <t>Fecha28</t>
  </si>
  <si>
    <t>Nota N°29</t>
  </si>
  <si>
    <t>Letras30</t>
  </si>
  <si>
    <t>Texa31</t>
  </si>
  <si>
    <t>Texa8</t>
  </si>
  <si>
    <t>Columna2</t>
  </si>
  <si>
    <t>Columna3</t>
  </si>
  <si>
    <t>Columna4</t>
  </si>
  <si>
    <t>Texa14</t>
  </si>
  <si>
    <t>Aproximacion al mundo del trabajo</t>
  </si>
  <si>
    <t>Texa26</t>
  </si>
  <si>
    <t>Libro82</t>
  </si>
  <si>
    <t>Folio93</t>
  </si>
  <si>
    <t>Fecha104</t>
  </si>
  <si>
    <t>Nota N°115</t>
  </si>
  <si>
    <t>Letras126</t>
  </si>
  <si>
    <t>Texa137</t>
  </si>
  <si>
    <t>Texa148</t>
  </si>
  <si>
    <t>Libro209</t>
  </si>
  <si>
    <t>Folio2110</t>
  </si>
  <si>
    <t>Fecha2211</t>
  </si>
  <si>
    <t>Nota N°2312</t>
  </si>
  <si>
    <t>Letras2413</t>
  </si>
  <si>
    <t>Texa2514</t>
  </si>
  <si>
    <t>Arquitectura de las computadoras</t>
  </si>
  <si>
    <t>Competencias comunicacionales II</t>
  </si>
  <si>
    <t>Etica Deontologia Profecional</t>
  </si>
  <si>
    <t>Libro2092</t>
  </si>
  <si>
    <t>Folio21103</t>
  </si>
  <si>
    <t>Fecha22114</t>
  </si>
  <si>
    <t>Nota N°23125</t>
  </si>
  <si>
    <t>Letras24132</t>
  </si>
  <si>
    <t>Texa25143</t>
  </si>
  <si>
    <t>Elementos Matematicos y Logica</t>
  </si>
  <si>
    <t>Planilla de:</t>
  </si>
  <si>
    <t>Instancias de Evaluación</t>
  </si>
  <si>
    <t>Instancias De Evaluación</t>
  </si>
  <si>
    <t>Curso</t>
  </si>
  <si>
    <t>1°</t>
  </si>
  <si>
    <t>Materia</t>
  </si>
  <si>
    <t>Carrera</t>
  </si>
  <si>
    <t>Desarrollo de Software</t>
  </si>
  <si>
    <t>Turno</t>
  </si>
  <si>
    <t>Mañana</t>
  </si>
  <si>
    <t>Central</t>
  </si>
  <si>
    <t>Instituto</t>
  </si>
  <si>
    <t>1ª Instancia</t>
  </si>
  <si>
    <t>2ª Instancia</t>
  </si>
  <si>
    <t>3ª Instancia</t>
  </si>
  <si>
    <t>4ª Instancia</t>
  </si>
  <si>
    <t>Recuperacion 1°</t>
  </si>
  <si>
    <t>Recuperacion 2°</t>
  </si>
  <si>
    <t>FINAL</t>
  </si>
  <si>
    <t>IEFI</t>
  </si>
  <si>
    <t>Examen Regular-Libre</t>
  </si>
  <si>
    <t>N°</t>
  </si>
  <si>
    <t>APELLIDO/S</t>
  </si>
  <si>
    <t>NOMBRE/S</t>
  </si>
  <si>
    <t>DNI</t>
  </si>
  <si>
    <t>E-MAILS</t>
  </si>
  <si>
    <t>nota</t>
  </si>
  <si>
    <t>CONDICIÓN</t>
  </si>
  <si>
    <t>En Letras</t>
  </si>
  <si>
    <t>Condicion</t>
  </si>
  <si>
    <t>ARROYO</t>
  </si>
  <si>
    <t>APELLIDO Y NOMBRE</t>
  </si>
  <si>
    <t>Sistemas y organizaciones</t>
  </si>
  <si>
    <t>Base de datos</t>
  </si>
  <si>
    <t>Competencias Comunicacionales I</t>
  </si>
  <si>
    <t>Aproximación al mundo del trabajo</t>
  </si>
  <si>
    <t>Competencias Comunicacionales II</t>
  </si>
  <si>
    <t>Etica y deontología profesional</t>
  </si>
  <si>
    <t>Inglés</t>
  </si>
  <si>
    <t>Estadística y probabilidad aplicadas</t>
  </si>
  <si>
    <t>Modelado y Arquitectura de Software</t>
  </si>
  <si>
    <t>Sistemas operativos</t>
  </si>
  <si>
    <t>Interfaz de usuario</t>
  </si>
  <si>
    <t>Ingenieria de software</t>
  </si>
  <si>
    <t>Gestión de proyectos</t>
  </si>
  <si>
    <t>Verificación y Validación de programas</t>
  </si>
  <si>
    <t>Serie</t>
  </si>
  <si>
    <t>Libro Matriz</t>
  </si>
  <si>
    <t xml:space="preserve">N° DE ORDEN </t>
  </si>
  <si>
    <t>APELLIDOS Y NOMBRES</t>
  </si>
  <si>
    <t>Sede2</t>
  </si>
  <si>
    <t>Sede3</t>
  </si>
  <si>
    <t>Sede4</t>
  </si>
  <si>
    <t>Sede5</t>
  </si>
  <si>
    <t>SEDE6</t>
  </si>
  <si>
    <t>Sede7</t>
  </si>
  <si>
    <t>Sede8</t>
  </si>
  <si>
    <t>Sede9</t>
  </si>
  <si>
    <t>GIORDA MARIA LOURDES</t>
  </si>
  <si>
    <t xml:space="preserve">APTOS PARA SALIDA EDUCATIVA DEL 20 DE OCTUBRE </t>
  </si>
  <si>
    <t>Legajos</t>
  </si>
  <si>
    <t>DOCENTES APELLIDO Y NOMBRE</t>
  </si>
  <si>
    <t>1 AÑO</t>
  </si>
  <si>
    <t>REGULAR</t>
  </si>
  <si>
    <t>Competencias comunicacionales I</t>
  </si>
  <si>
    <t>Regular</t>
  </si>
  <si>
    <t>Los pintados no figuran en CIDI</t>
  </si>
  <si>
    <t>CORRELATIVAS</t>
  </si>
  <si>
    <t>Tecnicatura Superior en Óptica y Contactología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</si>
</sst>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3" formatCode="_-* #,##0.00_-;\-* #,##0.00_-;_-* &quot;-&quot;??_-;_-@_-"/>
    <numFmt numFmtId="164" formatCode="_ * #,##0_ ;_ * \-#,##0_ ;_ * &quot;-&quot;_ ;_ @_ "/>
    <numFmt numFmtId="165" formatCode="_ * #,##0.00_ ;_ * \-#,##0.00_ ;_ * &quot;-&quot;??_ ;_ @_ "/>
    <numFmt numFmtId="166" formatCode="dd&quot; - &quot;mmmm&quot; - &quot;\y\y\y\y"/>
    <numFmt numFmtId="167" formatCode="dd&quot; - &quot;mmmm&quot; - &quot;yyyy"/>
    <numFmt numFmtId="168" formatCode="_-* #,##0_-;\-* #,##0_-;_-* &quot;-&quot;??_-;_-@_-"/>
    <numFmt numFmtId="169" formatCode="dd\-mmm\-yyyy"/>
    <numFmt numFmtId="170" formatCode="#,##0;[Red]#,##0"/>
    <numFmt numFmtId="171" formatCode="[$$-2C0A]\ #,##0"/>
    <numFmt numFmtId="172" formatCode="[$-F800]dddd\,\ mmmm\ dd\,\ yyyy"/>
    <numFmt numFmtId="173" formatCode="&quot;$&quot;\ #,##0.00"/>
    <numFmt numFmtId="174" formatCode="[$$-2C0A]\ #,##0.00"/>
    <numFmt numFmtId="175" formatCode="00"/>
    <numFmt numFmtId="176" formatCode="yyyy"/>
    <numFmt numFmtId="177" formatCode="d"/>
  </numFmts>
  <fonts count="73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u/>
      <sz val="10"/>
      <color indexed="12"/>
      <name val="Arial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8"/>
      <name val="Arial"/>
      <family val="2"/>
    </font>
    <font>
      <u/>
      <sz val="8"/>
      <name val="Tahoma"/>
      <family val="2"/>
    </font>
    <font>
      <b/>
      <sz val="9"/>
      <name val="Verdana"/>
      <family val="2"/>
    </font>
    <font>
      <b/>
      <sz val="8"/>
      <name val="Verdana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sz val="7"/>
      <name val="Verdana"/>
      <family val="2"/>
    </font>
    <font>
      <b/>
      <sz val="10"/>
      <name val="Verdana"/>
      <family val="2"/>
    </font>
    <font>
      <b/>
      <sz val="8"/>
      <color rgb="FFC00000"/>
      <name val="Tahoma"/>
      <family val="2"/>
    </font>
    <font>
      <sz val="8"/>
      <color rgb="FF00B050"/>
      <name val="Tahoma"/>
      <family val="2"/>
    </font>
    <font>
      <sz val="9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0"/>
      <name val="Tahoma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ahoma"/>
      <family val="2"/>
    </font>
    <font>
      <sz val="8"/>
      <color theme="1"/>
      <name val="Tahoma"/>
      <family val="2"/>
    </font>
    <font>
      <b/>
      <sz val="10"/>
      <name val="Tahoma"/>
      <family val="2"/>
    </font>
    <font>
      <sz val="24"/>
      <color theme="3" tint="0.39997558519241921"/>
      <name val="Times New Roman"/>
      <family val="1"/>
    </font>
    <font>
      <sz val="8"/>
      <color theme="0"/>
      <name val="Verdana"/>
      <family val="2"/>
    </font>
    <font>
      <sz val="9"/>
      <color theme="0"/>
      <name val="Verdana"/>
      <family val="2"/>
    </font>
    <font>
      <sz val="8"/>
      <color rgb="FFFF0000"/>
      <name val="Tahoma"/>
      <family val="2"/>
    </font>
    <font>
      <sz val="8"/>
      <color theme="1"/>
      <name val="Verdana"/>
      <family val="2"/>
    </font>
    <font>
      <sz val="24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0"/>
      <color theme="0"/>
      <name val="Arial"/>
      <family val="2"/>
    </font>
    <font>
      <sz val="8"/>
      <name val="Arial MT"/>
    </font>
    <font>
      <b/>
      <sz val="8"/>
      <name val="Arial"/>
      <family val="2"/>
    </font>
    <font>
      <u/>
      <sz val="10"/>
      <color theme="10"/>
      <name val="Arial"/>
      <family val="2"/>
    </font>
    <font>
      <sz val="11"/>
      <color rgb="FF9C0006"/>
      <name val="Calibri"/>
      <family val="2"/>
      <scheme val="minor"/>
    </font>
    <font>
      <b/>
      <sz val="8"/>
      <color theme="0"/>
      <name val="Arial"/>
      <family val="2"/>
    </font>
    <font>
      <sz val="10"/>
      <color theme="7" tint="-0.249977111117893"/>
      <name val="Arial"/>
      <family val="2"/>
    </font>
    <font>
      <b/>
      <sz val="8"/>
      <color theme="3"/>
      <name val="Verdana"/>
      <family val="2"/>
    </font>
    <font>
      <b/>
      <sz val="8"/>
      <color theme="0"/>
      <name val="Verdana"/>
      <family val="2"/>
    </font>
    <font>
      <b/>
      <sz val="12"/>
      <name val="Calibri"/>
      <family val="2"/>
    </font>
    <font>
      <sz val="12"/>
      <name val="Calibri"/>
      <family val="2"/>
    </font>
    <font>
      <sz val="24"/>
      <name val="Tahoma"/>
      <family val="2"/>
    </font>
    <font>
      <b/>
      <sz val="11"/>
      <name val="Calibri"/>
      <family val="2"/>
    </font>
    <font>
      <u/>
      <sz val="10"/>
      <color rgb="FF0000FF"/>
      <name val="Arial"/>
      <family val="2"/>
    </font>
    <font>
      <sz val="9"/>
      <name val="Tahoma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b/>
      <sz val="10"/>
      <color theme="0"/>
      <name val="Arial"/>
      <family val="2"/>
    </font>
    <font>
      <sz val="10"/>
      <color theme="4" tint="-0.249977111117893"/>
      <name val="Arial MT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FF0000"/>
      <name val="Arial"/>
    </font>
    <font>
      <sz val="10"/>
      <color theme="1"/>
      <name val="Arial"/>
      <family val="2"/>
    </font>
    <font>
      <b/>
      <sz val="10"/>
      <color theme="4" tint="-0.249977111117893"/>
      <name val="Arial"/>
    </font>
    <font>
      <b/>
      <sz val="10"/>
      <name val="Arial Black"/>
      <family val="2"/>
    </font>
    <font>
      <sz val="10"/>
      <color rgb="FF9C5700"/>
      <name val="Arial"/>
      <family val="2"/>
    </font>
    <font>
      <b/>
      <sz val="9"/>
      <name val="Tahoma"/>
      <family val="2"/>
    </font>
    <font>
      <b/>
      <sz val="10"/>
      <color rgb="FF9C0006"/>
      <name val="Tahoma"/>
      <family val="2"/>
    </font>
    <font>
      <b/>
      <sz val="10"/>
      <color rgb="FF002060"/>
      <name val="Arial"/>
      <family val="2"/>
    </font>
    <font>
      <b/>
      <sz val="10"/>
      <color theme="1"/>
      <name val="Arial"/>
      <family val="2"/>
    </font>
    <font>
      <b/>
      <sz val="10"/>
      <color rgb="FF006100"/>
      <name val="Arial"/>
      <family val="2"/>
    </font>
    <font>
      <b/>
      <sz val="10"/>
      <color rgb="FF9C0006"/>
      <name val="Arial"/>
      <family val="2"/>
    </font>
    <font>
      <sz val="10"/>
      <color theme="4" tint="-0.249977111117893"/>
      <name val="Arial MT"/>
    </font>
  </fonts>
  <fills count="27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C7CE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00FFFF"/>
        <bgColor indexed="64"/>
      </patternFill>
    </fill>
  </fills>
  <borders count="8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3"/>
      </left>
      <right style="hair">
        <color indexed="63"/>
      </right>
      <top style="hair">
        <color indexed="63"/>
      </top>
      <bottom style="hair">
        <color indexed="63"/>
      </bottom>
      <diagonal/>
    </border>
    <border>
      <left style="hair">
        <color indexed="63"/>
      </left>
      <right/>
      <top style="hair">
        <color indexed="63"/>
      </top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hair">
        <color indexed="63"/>
      </top>
      <bottom style="hair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hair">
        <color indexed="63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 style="dotted">
        <color rgb="FF000000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dotted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dotted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42" fillId="13" borderId="0" applyNumberFormat="0" applyBorder="0" applyAlignment="0" applyProtection="0"/>
  </cellStyleXfs>
  <cellXfs count="418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/>
    <xf numFmtId="0" fontId="6" fillId="0" borderId="0" xfId="0" applyFont="1"/>
    <xf numFmtId="2" fontId="5" fillId="0" borderId="0" xfId="0" applyNumberFormat="1" applyFont="1" applyAlignment="1">
      <alignment horizontal="left"/>
    </xf>
    <xf numFmtId="0" fontId="2" fillId="0" borderId="0" xfId="0" applyFont="1"/>
    <xf numFmtId="1" fontId="2" fillId="0" borderId="0" xfId="0" applyNumberFormat="1" applyFont="1" applyAlignment="1">
      <alignment horizontal="center"/>
    </xf>
    <xf numFmtId="15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0" fontId="5" fillId="0" borderId="0" xfId="4" applyNumberFormat="1" applyFont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9" fillId="0" borderId="0" xfId="0" applyFont="1"/>
    <xf numFmtId="0" fontId="5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/>
    </xf>
    <xf numFmtId="49" fontId="5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left"/>
    </xf>
    <xf numFmtId="169" fontId="5" fillId="3" borderId="7" xfId="0" applyNumberFormat="1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0" fontId="5" fillId="3" borderId="4" xfId="0" applyFont="1" applyFill="1" applyBorder="1" applyAlignment="1">
      <alignment horizontal="center"/>
    </xf>
    <xf numFmtId="0" fontId="4" fillId="3" borderId="4" xfId="1" applyFill="1" applyBorder="1" applyAlignment="1" applyProtection="1">
      <alignment horizontal="center"/>
    </xf>
    <xf numFmtId="0" fontId="13" fillId="0" borderId="0" xfId="0" applyFont="1"/>
    <xf numFmtId="0" fontId="1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right"/>
    </xf>
    <xf numFmtId="0" fontId="11" fillId="0" borderId="0" xfId="0" applyFont="1"/>
    <xf numFmtId="0" fontId="5" fillId="0" borderId="8" xfId="0" applyFont="1" applyBorder="1"/>
    <xf numFmtId="0" fontId="5" fillId="0" borderId="17" xfId="0" applyFont="1" applyBorder="1"/>
    <xf numFmtId="0" fontId="16" fillId="3" borderId="7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center" vertical="center"/>
    </xf>
    <xf numFmtId="0" fontId="2" fillId="0" borderId="6" xfId="0" applyFont="1" applyBorder="1"/>
    <xf numFmtId="0" fontId="5" fillId="3" borderId="0" xfId="0" applyFont="1" applyFill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11" fillId="0" borderId="0" xfId="0" applyFont="1" applyAlignment="1">
      <alignment horizontal="left" wrapText="1"/>
    </xf>
    <xf numFmtId="0" fontId="11" fillId="0" borderId="17" xfId="0" applyFont="1" applyBorder="1" applyAlignment="1">
      <alignment horizontal="left" wrapText="1"/>
    </xf>
    <xf numFmtId="0" fontId="2" fillId="0" borderId="7" xfId="0" applyFont="1" applyBorder="1" applyAlignment="1">
      <alignment horizontal="center" vertical="center"/>
    </xf>
    <xf numFmtId="168" fontId="5" fillId="3" borderId="7" xfId="2" applyNumberFormat="1" applyFont="1" applyFill="1" applyBorder="1" applyAlignment="1">
      <alignment horizontal="center" vertical="center"/>
    </xf>
    <xf numFmtId="0" fontId="4" fillId="3" borderId="0" xfId="1" applyFill="1" applyBorder="1" applyAlignment="1" applyProtection="1">
      <alignment horizontal="center"/>
    </xf>
    <xf numFmtId="0" fontId="5" fillId="5" borderId="8" xfId="0" applyFont="1" applyFill="1" applyBorder="1"/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18" fillId="0" borderId="0" xfId="0" applyFont="1"/>
    <xf numFmtId="0" fontId="18" fillId="0" borderId="0" xfId="5" applyFont="1"/>
    <xf numFmtId="0" fontId="1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3" fontId="10" fillId="0" borderId="0" xfId="2" applyNumberFormat="1" applyFont="1" applyAlignment="1">
      <alignment horizontal="left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11" fillId="0" borderId="9" xfId="0" applyFont="1" applyBorder="1"/>
    <xf numFmtId="2" fontId="13" fillId="0" borderId="10" xfId="0" applyNumberFormat="1" applyFont="1" applyBorder="1" applyAlignment="1">
      <alignment horizontal="center"/>
    </xf>
    <xf numFmtId="0" fontId="11" fillId="0" borderId="11" xfId="0" applyFont="1" applyBorder="1"/>
    <xf numFmtId="0" fontId="13" fillId="0" borderId="12" xfId="0" applyFont="1" applyBorder="1" applyAlignment="1">
      <alignment horizontal="center"/>
    </xf>
    <xf numFmtId="0" fontId="11" fillId="0" borderId="13" xfId="0" applyFont="1" applyBorder="1"/>
    <xf numFmtId="0" fontId="13" fillId="0" borderId="14" xfId="0" applyFont="1" applyBorder="1" applyAlignment="1">
      <alignment horizontal="center"/>
    </xf>
    <xf numFmtId="0" fontId="11" fillId="0" borderId="15" xfId="0" applyFont="1" applyBorder="1"/>
    <xf numFmtId="0" fontId="13" fillId="0" borderId="16" xfId="0" applyFont="1" applyBorder="1" applyAlignment="1">
      <alignment horizontal="center"/>
    </xf>
    <xf numFmtId="0" fontId="19" fillId="5" borderId="18" xfId="0" applyFont="1" applyFill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4" borderId="18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172" fontId="1" fillId="5" borderId="0" xfId="0" applyNumberFormat="1" applyFont="1" applyFill="1" applyAlignment="1">
      <alignment horizontal="left"/>
    </xf>
    <xf numFmtId="0" fontId="29" fillId="0" borderId="0" xfId="0" applyFont="1"/>
    <xf numFmtId="0" fontId="25" fillId="0" borderId="0" xfId="0" applyFont="1"/>
    <xf numFmtId="49" fontId="30" fillId="0" borderId="0" xfId="0" applyNumberFormat="1" applyFont="1" applyAlignment="1">
      <alignment horizontal="left" vertical="center" readingOrder="1"/>
    </xf>
    <xf numFmtId="49" fontId="29" fillId="0" borderId="0" xfId="0" applyNumberFormat="1" applyFont="1"/>
    <xf numFmtId="0" fontId="31" fillId="0" borderId="0" xfId="0" applyFont="1"/>
    <xf numFmtId="0" fontId="26" fillId="0" borderId="0" xfId="0" applyFont="1"/>
    <xf numFmtId="0" fontId="32" fillId="0" borderId="0" xfId="0" applyFont="1"/>
    <xf numFmtId="0" fontId="35" fillId="0" borderId="29" xfId="0" applyFont="1" applyBorder="1"/>
    <xf numFmtId="0" fontId="0" fillId="0" borderId="30" xfId="0" applyBorder="1"/>
    <xf numFmtId="0" fontId="35" fillId="0" borderId="31" xfId="0" applyFont="1" applyBorder="1"/>
    <xf numFmtId="0" fontId="0" fillId="0" borderId="32" xfId="0" applyBorder="1"/>
    <xf numFmtId="0" fontId="35" fillId="0" borderId="33" xfId="0" applyFont="1" applyBorder="1"/>
    <xf numFmtId="0" fontId="0" fillId="0" borderId="34" xfId="0" applyBorder="1"/>
    <xf numFmtId="0" fontId="35" fillId="0" borderId="0" xfId="0" applyFont="1"/>
    <xf numFmtId="0" fontId="11" fillId="5" borderId="0" xfId="0" applyFont="1" applyFill="1"/>
    <xf numFmtId="0" fontId="7" fillId="5" borderId="0" xfId="0" applyFont="1" applyFill="1"/>
    <xf numFmtId="0" fontId="0" fillId="5" borderId="0" xfId="0" applyFill="1"/>
    <xf numFmtId="0" fontId="37" fillId="0" borderId="0" xfId="0" applyFont="1"/>
    <xf numFmtId="0" fontId="1" fillId="0" borderId="0" xfId="0" applyFont="1"/>
    <xf numFmtId="0" fontId="36" fillId="0" borderId="35" xfId="0" applyFont="1" applyBorder="1"/>
    <xf numFmtId="0" fontId="0" fillId="0" borderId="18" xfId="0" applyBorder="1" applyAlignment="1">
      <alignment horizontal="center"/>
    </xf>
    <xf numFmtId="0" fontId="0" fillId="0" borderId="18" xfId="0" applyBorder="1"/>
    <xf numFmtId="171" fontId="0" fillId="0" borderId="18" xfId="0" applyNumberFormat="1" applyBorder="1" applyAlignment="1">
      <alignment horizontal="center"/>
    </xf>
    <xf numFmtId="168" fontId="5" fillId="3" borderId="0" xfId="2" applyNumberFormat="1" applyFont="1" applyFill="1" applyBorder="1" applyAlignment="1">
      <alignment horizontal="center" vertical="center"/>
    </xf>
    <xf numFmtId="0" fontId="0" fillId="0" borderId="25" xfId="0" applyBorder="1"/>
    <xf numFmtId="0" fontId="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8" fillId="11" borderId="18" xfId="0" applyFont="1" applyFill="1" applyBorder="1" applyAlignment="1">
      <alignment horizontal="center" vertical="center" wrapText="1"/>
    </xf>
    <xf numFmtId="171" fontId="22" fillId="0" borderId="18" xfId="0" applyNumberFormat="1" applyFont="1" applyBorder="1"/>
    <xf numFmtId="171" fontId="38" fillId="11" borderId="18" xfId="0" applyNumberFormat="1" applyFont="1" applyFill="1" applyBorder="1" applyAlignment="1">
      <alignment horizontal="center"/>
    </xf>
    <xf numFmtId="165" fontId="1" fillId="0" borderId="0" xfId="2" applyFont="1"/>
    <xf numFmtId="165" fontId="0" fillId="0" borderId="0" xfId="2" applyFont="1"/>
    <xf numFmtId="43" fontId="0" fillId="0" borderId="0" xfId="0" applyNumberFormat="1"/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39" fillId="0" borderId="36" xfId="0" applyFont="1" applyBorder="1" applyAlignment="1">
      <alignment vertical="top" wrapText="1"/>
    </xf>
    <xf numFmtId="0" fontId="7" fillId="3" borderId="0" xfId="0" applyFont="1" applyFill="1" applyAlignment="1">
      <alignment horizontal="left"/>
    </xf>
    <xf numFmtId="0" fontId="40" fillId="0" borderId="36" xfId="0" applyFont="1" applyBorder="1" applyAlignment="1">
      <alignment horizontal="center" wrapText="1"/>
    </xf>
    <xf numFmtId="0" fontId="0" fillId="0" borderId="28" xfId="0" applyBorder="1"/>
    <xf numFmtId="0" fontId="1" fillId="5" borderId="0" xfId="0" applyFont="1" applyFill="1"/>
    <xf numFmtId="0" fontId="0" fillId="0" borderId="36" xfId="0" applyBorder="1" applyAlignment="1">
      <alignment horizontal="center"/>
    </xf>
    <xf numFmtId="0" fontId="1" fillId="0" borderId="36" xfId="0" applyFont="1" applyBorder="1" applyAlignment="1">
      <alignment horizontal="center"/>
    </xf>
    <xf numFmtId="171" fontId="0" fillId="0" borderId="25" xfId="0" applyNumberFormat="1" applyBorder="1" applyAlignment="1">
      <alignment horizontal="center"/>
    </xf>
    <xf numFmtId="0" fontId="22" fillId="8" borderId="18" xfId="0" applyFont="1" applyFill="1" applyBorder="1" applyAlignment="1">
      <alignment horizontal="center" vertical="center" wrapText="1"/>
    </xf>
    <xf numFmtId="0" fontId="4" fillId="0" borderId="18" xfId="1" applyBorder="1" applyAlignment="1" applyProtection="1">
      <alignment horizontal="center" vertical="center" wrapText="1"/>
    </xf>
    <xf numFmtId="14" fontId="0" fillId="0" borderId="0" xfId="2" applyNumberFormat="1" applyFont="1" applyFill="1" applyBorder="1" applyAlignment="1">
      <alignment horizontal="center" vertical="center"/>
    </xf>
    <xf numFmtId="171" fontId="38" fillId="11" borderId="28" xfId="0" applyNumberFormat="1" applyFont="1" applyFill="1" applyBorder="1" applyAlignment="1">
      <alignment horizontal="center"/>
    </xf>
    <xf numFmtId="173" fontId="0" fillId="0" borderId="0" xfId="0" applyNumberFormat="1"/>
    <xf numFmtId="0" fontId="39" fillId="0" borderId="0" xfId="0" applyFont="1" applyBorder="1" applyAlignment="1">
      <alignment vertical="top" wrapText="1"/>
    </xf>
    <xf numFmtId="0" fontId="0" fillId="0" borderId="0" xfId="0" applyBorder="1"/>
    <xf numFmtId="0" fontId="2" fillId="0" borderId="0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170" fontId="0" fillId="0" borderId="0" xfId="2" applyNumberFormat="1" applyFont="1" applyFill="1" applyBorder="1" applyAlignment="1">
      <alignment horizontal="center" vertical="center"/>
    </xf>
    <xf numFmtId="169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 vertical="center"/>
    </xf>
    <xf numFmtId="49" fontId="5" fillId="3" borderId="27" xfId="0" applyNumberFormat="1" applyFont="1" applyFill="1" applyBorder="1" applyAlignment="1">
      <alignment horizontal="center"/>
    </xf>
    <xf numFmtId="0" fontId="41" fillId="12" borderId="36" xfId="0" applyFont="1" applyFill="1" applyBorder="1" applyAlignment="1">
      <alignment horizontal="left" vertical="center"/>
    </xf>
    <xf numFmtId="2" fontId="0" fillId="0" borderId="0" xfId="0" applyNumberFormat="1" applyFont="1" applyFill="1" applyBorder="1" applyAlignment="1">
      <alignment horizontal="center"/>
    </xf>
    <xf numFmtId="2" fontId="5" fillId="3" borderId="7" xfId="0" applyNumberFormat="1" applyFont="1" applyFill="1" applyBorder="1" applyAlignment="1">
      <alignment horizontal="center"/>
    </xf>
    <xf numFmtId="0" fontId="2" fillId="0" borderId="27" xfId="0" applyFont="1" applyBorder="1" applyAlignment="1">
      <alignment horizontal="center" vertical="center"/>
    </xf>
    <xf numFmtId="168" fontId="5" fillId="3" borderId="27" xfId="2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0" fontId="1" fillId="0" borderId="0" xfId="2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center"/>
    </xf>
    <xf numFmtId="49" fontId="1" fillId="0" borderId="0" xfId="3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/>
    </xf>
    <xf numFmtId="49" fontId="5" fillId="3" borderId="7" xfId="3" applyNumberFormat="1" applyFont="1" applyFill="1" applyBorder="1" applyAlignment="1">
      <alignment horizontal="center"/>
    </xf>
    <xf numFmtId="0" fontId="42" fillId="13" borderId="0" xfId="6" applyBorder="1" applyAlignment="1">
      <alignment horizontal="center"/>
    </xf>
    <xf numFmtId="0" fontId="42" fillId="13" borderId="0" xfId="6" applyBorder="1" applyAlignment="1">
      <alignment horizontal="left"/>
    </xf>
    <xf numFmtId="0" fontId="0" fillId="7" borderId="0" xfId="0" applyFont="1" applyFill="1" applyBorder="1" applyAlignment="1">
      <alignment horizontal="center" vertical="center"/>
    </xf>
    <xf numFmtId="1" fontId="0" fillId="17" borderId="0" xfId="0" applyNumberFormat="1" applyFont="1" applyFill="1" applyBorder="1" applyAlignment="1">
      <alignment horizontal="center"/>
    </xf>
    <xf numFmtId="49" fontId="0" fillId="17" borderId="0" xfId="0" applyNumberFormat="1" applyFont="1" applyFill="1" applyBorder="1" applyAlignment="1">
      <alignment horizontal="center" vertical="center"/>
    </xf>
    <xf numFmtId="49" fontId="0" fillId="17" borderId="0" xfId="0" applyNumberFormat="1" applyFont="1" applyFill="1" applyBorder="1" applyAlignment="1">
      <alignment horizontal="center"/>
    </xf>
    <xf numFmtId="0" fontId="43" fillId="14" borderId="38" xfId="0" applyFont="1" applyFill="1" applyBorder="1" applyAlignment="1">
      <alignment horizontal="center" vertical="center"/>
    </xf>
    <xf numFmtId="0" fontId="43" fillId="14" borderId="18" xfId="0" applyFont="1" applyFill="1" applyBorder="1" applyAlignment="1">
      <alignment horizontal="center" vertical="center"/>
    </xf>
    <xf numFmtId="0" fontId="43" fillId="17" borderId="18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0" fontId="0" fillId="17" borderId="18" xfId="0" applyFont="1" applyFill="1" applyBorder="1" applyAlignment="1">
      <alignment horizontal="center" vertical="center"/>
    </xf>
    <xf numFmtId="1" fontId="0" fillId="0" borderId="18" xfId="0" applyNumberFormat="1" applyFont="1" applyFill="1" applyBorder="1" applyAlignment="1">
      <alignment horizontal="center"/>
    </xf>
    <xf numFmtId="15" fontId="0" fillId="0" borderId="18" xfId="0" applyNumberFormat="1" applyFont="1" applyFill="1" applyBorder="1" applyAlignment="1">
      <alignment horizontal="center"/>
    </xf>
    <xf numFmtId="0" fontId="0" fillId="0" borderId="18" xfId="0" applyFont="1" applyFill="1" applyBorder="1" applyAlignment="1">
      <alignment horizontal="left" vertical="center"/>
    </xf>
    <xf numFmtId="0" fontId="0" fillId="0" borderId="18" xfId="0" applyFont="1" applyFill="1" applyBorder="1"/>
    <xf numFmtId="170" fontId="0" fillId="0" borderId="18" xfId="2" applyNumberFormat="1" applyFont="1" applyFill="1" applyBorder="1" applyAlignment="1">
      <alignment horizontal="center" vertical="center"/>
    </xf>
    <xf numFmtId="170" fontId="0" fillId="17" borderId="18" xfId="2" applyNumberFormat="1" applyFont="1" applyFill="1" applyBorder="1" applyAlignment="1">
      <alignment horizontal="center" vertical="center"/>
    </xf>
    <xf numFmtId="1" fontId="0" fillId="0" borderId="18" xfId="0" applyNumberFormat="1" applyFont="1" applyFill="1" applyBorder="1" applyAlignment="1">
      <alignment horizontal="center" vertical="center"/>
    </xf>
    <xf numFmtId="15" fontId="0" fillId="0" borderId="18" xfId="0" applyNumberFormat="1" applyFont="1" applyFill="1" applyBorder="1" applyAlignment="1">
      <alignment horizontal="center" vertical="center"/>
    </xf>
    <xf numFmtId="49" fontId="0" fillId="0" borderId="18" xfId="0" applyNumberFormat="1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49" fontId="0" fillId="0" borderId="18" xfId="0" applyNumberFormat="1" applyFont="1" applyFill="1" applyBorder="1" applyAlignment="1">
      <alignment horizontal="center"/>
    </xf>
    <xf numFmtId="1" fontId="12" fillId="17" borderId="18" xfId="0" applyNumberFormat="1" applyFont="1" applyFill="1" applyBorder="1" applyAlignment="1">
      <alignment horizontal="center" vertical="center"/>
    </xf>
    <xf numFmtId="1" fontId="0" fillId="17" borderId="18" xfId="0" applyNumberFormat="1" applyFont="1" applyFill="1" applyBorder="1" applyAlignment="1">
      <alignment horizontal="center"/>
    </xf>
    <xf numFmtId="49" fontId="0" fillId="17" borderId="18" xfId="0" applyNumberFormat="1" applyFont="1" applyFill="1" applyBorder="1" applyAlignment="1">
      <alignment horizontal="center" vertical="center"/>
    </xf>
    <xf numFmtId="49" fontId="0" fillId="17" borderId="18" xfId="0" applyNumberFormat="1" applyFont="1" applyFill="1" applyBorder="1" applyAlignment="1">
      <alignment horizontal="center"/>
    </xf>
    <xf numFmtId="1" fontId="11" fillId="17" borderId="18" xfId="0" applyNumberFormat="1" applyFont="1" applyFill="1" applyBorder="1" applyAlignment="1">
      <alignment horizontal="center" vertical="center"/>
    </xf>
    <xf numFmtId="1" fontId="45" fillId="17" borderId="18" xfId="0" applyNumberFormat="1" applyFont="1" applyFill="1" applyBorder="1" applyAlignment="1">
      <alignment horizontal="center" vertical="center"/>
    </xf>
    <xf numFmtId="1" fontId="12" fillId="17" borderId="0" xfId="0" applyNumberFormat="1" applyFont="1" applyFill="1" applyBorder="1" applyAlignment="1">
      <alignment horizontal="center" vertical="center"/>
    </xf>
    <xf numFmtId="1" fontId="1" fillId="0" borderId="18" xfId="0" applyNumberFormat="1" applyFont="1" applyFill="1" applyBorder="1" applyAlignment="1">
      <alignment horizontal="center"/>
    </xf>
    <xf numFmtId="0" fontId="1" fillId="0" borderId="39" xfId="0" applyFont="1" applyBorder="1" applyAlignment="1">
      <alignment wrapText="1"/>
    </xf>
    <xf numFmtId="0" fontId="1" fillId="19" borderId="55" xfId="0" applyFont="1" applyFill="1" applyBorder="1" applyAlignment="1">
      <alignment vertical="center" wrapText="1"/>
    </xf>
    <xf numFmtId="0" fontId="27" fillId="6" borderId="55" xfId="0" applyFont="1" applyFill="1" applyBorder="1" applyAlignment="1">
      <alignment horizontal="center" vertical="center" wrapText="1"/>
    </xf>
    <xf numFmtId="0" fontId="50" fillId="19" borderId="57" xfId="0" applyFont="1" applyFill="1" applyBorder="1" applyAlignment="1">
      <alignment horizontal="center" vertical="center" wrapText="1"/>
    </xf>
    <xf numFmtId="0" fontId="50" fillId="19" borderId="55" xfId="0" applyFont="1" applyFill="1" applyBorder="1" applyAlignment="1">
      <alignment horizontal="center" vertical="center" wrapText="1"/>
    </xf>
    <xf numFmtId="0" fontId="7" fillId="6" borderId="55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7" fillId="7" borderId="55" xfId="0" applyFont="1" applyFill="1" applyBorder="1" applyAlignment="1">
      <alignment horizontal="center" vertical="center" wrapText="1"/>
    </xf>
    <xf numFmtId="0" fontId="48" fillId="22" borderId="57" xfId="0" applyFont="1" applyFill="1" applyBorder="1" applyAlignment="1">
      <alignment horizontal="center" vertical="center" wrapText="1"/>
    </xf>
    <xf numFmtId="0" fontId="48" fillId="22" borderId="55" xfId="0" applyFont="1" applyFill="1" applyBorder="1" applyAlignment="1">
      <alignment horizontal="center" vertical="center" wrapText="1"/>
    </xf>
    <xf numFmtId="0" fontId="48" fillId="22" borderId="55" xfId="0" applyFont="1" applyFill="1" applyBorder="1" applyAlignment="1">
      <alignment wrapText="1"/>
    </xf>
    <xf numFmtId="3" fontId="48" fillId="22" borderId="55" xfId="0" applyNumberFormat="1" applyFont="1" applyFill="1" applyBorder="1" applyAlignment="1">
      <alignment horizontal="center" vertical="center" wrapText="1"/>
    </xf>
    <xf numFmtId="0" fontId="51" fillId="22" borderId="55" xfId="0" applyFont="1" applyFill="1" applyBorder="1" applyAlignment="1">
      <alignment vertical="center" wrapText="1"/>
    </xf>
    <xf numFmtId="14" fontId="52" fillId="22" borderId="55" xfId="0" applyNumberFormat="1" applyFont="1" applyFill="1" applyBorder="1" applyAlignment="1">
      <alignment horizontal="center" wrapText="1"/>
    </xf>
    <xf numFmtId="0" fontId="1" fillId="22" borderId="55" xfId="0" applyFont="1" applyFill="1" applyBorder="1" applyAlignment="1">
      <alignment wrapText="1"/>
    </xf>
    <xf numFmtId="0" fontId="53" fillId="15" borderId="55" xfId="0" applyFont="1" applyFill="1" applyBorder="1" applyAlignment="1">
      <alignment wrapText="1"/>
    </xf>
    <xf numFmtId="0" fontId="27" fillId="22" borderId="55" xfId="0" applyFont="1" applyFill="1" applyBorder="1" applyAlignment="1">
      <alignment horizontal="center" wrapText="1"/>
    </xf>
    <xf numFmtId="0" fontId="1" fillId="22" borderId="55" xfId="0" applyFont="1" applyFill="1" applyBorder="1" applyAlignment="1">
      <alignment vertical="center" wrapText="1"/>
    </xf>
    <xf numFmtId="0" fontId="4" fillId="22" borderId="55" xfId="1" applyFill="1" applyBorder="1" applyAlignment="1" applyProtection="1">
      <alignment vertical="center" wrapText="1"/>
    </xf>
    <xf numFmtId="0" fontId="54" fillId="16" borderId="55" xfId="0" applyFont="1" applyFill="1" applyBorder="1" applyAlignment="1">
      <alignment wrapText="1"/>
    </xf>
    <xf numFmtId="0" fontId="1" fillId="0" borderId="60" xfId="0" applyFont="1" applyBorder="1" applyAlignment="1">
      <alignment horizontal="center" vertical="center" wrapText="1"/>
    </xf>
    <xf numFmtId="0" fontId="1" fillId="22" borderId="61" xfId="0" applyFont="1" applyFill="1" applyBorder="1" applyAlignment="1">
      <alignment vertical="center" wrapText="1"/>
    </xf>
    <xf numFmtId="0" fontId="1" fillId="22" borderId="61" xfId="0" applyFont="1" applyFill="1" applyBorder="1" applyAlignment="1">
      <alignment wrapText="1"/>
    </xf>
    <xf numFmtId="0" fontId="1" fillId="0" borderId="61" xfId="0" applyFont="1" applyBorder="1" applyAlignment="1">
      <alignment vertical="center" wrapText="1"/>
    </xf>
    <xf numFmtId="0" fontId="1" fillId="0" borderId="61" xfId="0" applyFont="1" applyBorder="1" applyAlignment="1">
      <alignment wrapText="1"/>
    </xf>
    <xf numFmtId="0" fontId="1" fillId="0" borderId="39" xfId="0" applyFont="1" applyBorder="1" applyAlignment="1">
      <alignment vertical="center" wrapText="1"/>
    </xf>
    <xf numFmtId="1" fontId="1" fillId="17" borderId="18" xfId="0" applyNumberFormat="1" applyFont="1" applyFill="1" applyBorder="1" applyAlignment="1">
      <alignment horizontal="center"/>
    </xf>
    <xf numFmtId="0" fontId="1" fillId="21" borderId="55" xfId="0" applyFont="1" applyFill="1" applyBorder="1" applyAlignment="1">
      <alignment vertical="center" wrapText="1"/>
    </xf>
    <xf numFmtId="0" fontId="53" fillId="15" borderId="63" xfId="0" applyFont="1" applyFill="1" applyBorder="1" applyAlignment="1">
      <alignment vertical="center"/>
    </xf>
    <xf numFmtId="0" fontId="54" fillId="16" borderId="64" xfId="0" applyFont="1" applyFill="1" applyBorder="1" applyAlignment="1">
      <alignment wrapText="1"/>
    </xf>
    <xf numFmtId="0" fontId="53" fillId="15" borderId="64" xfId="0" applyFont="1" applyFill="1" applyBorder="1" applyAlignment="1">
      <alignment vertical="center"/>
    </xf>
    <xf numFmtId="0" fontId="53" fillId="15" borderId="64" xfId="0" applyFont="1" applyFill="1" applyBorder="1" applyAlignment="1">
      <alignment wrapText="1"/>
    </xf>
    <xf numFmtId="0" fontId="53" fillId="15" borderId="65" xfId="0" applyFont="1" applyFill="1" applyBorder="1" applyAlignment="1">
      <alignment wrapText="1"/>
    </xf>
    <xf numFmtId="1" fontId="27" fillId="22" borderId="55" xfId="0" applyNumberFormat="1" applyFont="1" applyFill="1" applyBorder="1" applyAlignment="1">
      <alignment horizontal="center" wrapText="1"/>
    </xf>
    <xf numFmtId="0" fontId="54" fillId="16" borderId="64" xfId="0" applyFont="1" applyFill="1" applyBorder="1" applyAlignment="1">
      <alignment horizontal="center" wrapText="1"/>
    </xf>
    <xf numFmtId="0" fontId="53" fillId="6" borderId="64" xfId="0" applyFont="1" applyFill="1" applyBorder="1" applyAlignment="1">
      <alignment wrapText="1"/>
    </xf>
    <xf numFmtId="0" fontId="55" fillId="22" borderId="55" xfId="0" applyFont="1" applyFill="1" applyBorder="1" applyAlignment="1">
      <alignment horizontal="center" vertical="center" wrapText="1"/>
    </xf>
    <xf numFmtId="14" fontId="55" fillId="22" borderId="55" xfId="0" applyNumberFormat="1" applyFont="1" applyFill="1" applyBorder="1" applyAlignment="1">
      <alignment horizontal="center" vertical="center" wrapText="1"/>
    </xf>
    <xf numFmtId="0" fontId="55" fillId="22" borderId="55" xfId="0" applyFont="1" applyFill="1" applyBorder="1" applyAlignment="1">
      <alignment horizontal="center" wrapText="1"/>
    </xf>
    <xf numFmtId="14" fontId="55" fillId="22" borderId="55" xfId="0" applyNumberFormat="1" applyFont="1" applyFill="1" applyBorder="1" applyAlignment="1">
      <alignment horizontal="center" wrapText="1"/>
    </xf>
    <xf numFmtId="0" fontId="53" fillId="15" borderId="55" xfId="0" applyFont="1" applyFill="1" applyBorder="1" applyAlignment="1">
      <alignment horizontal="center" wrapText="1"/>
    </xf>
    <xf numFmtId="0" fontId="54" fillId="16" borderId="55" xfId="0" applyFont="1" applyFill="1" applyBorder="1" applyAlignment="1">
      <alignment horizontal="center" wrapText="1"/>
    </xf>
    <xf numFmtId="0" fontId="44" fillId="6" borderId="0" xfId="0" applyFont="1" applyFill="1" applyBorder="1" applyAlignment="1">
      <alignment horizontal="center"/>
    </xf>
    <xf numFmtId="0" fontId="2" fillId="0" borderId="27" xfId="0" applyFont="1" applyBorder="1" applyAlignment="1">
      <alignment horizontal="left"/>
    </xf>
    <xf numFmtId="49" fontId="5" fillId="3" borderId="27" xfId="0" applyNumberFormat="1" applyFont="1" applyFill="1" applyBorder="1" applyAlignment="1">
      <alignment horizontal="left"/>
    </xf>
    <xf numFmtId="0" fontId="56" fillId="2" borderId="5" xfId="0" applyFont="1" applyFill="1" applyBorder="1" applyAlignment="1">
      <alignment horizontal="center" vertical="center"/>
    </xf>
    <xf numFmtId="0" fontId="56" fillId="2" borderId="6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left" vertical="center"/>
    </xf>
    <xf numFmtId="1" fontId="46" fillId="18" borderId="18" xfId="0" applyNumberFormat="1" applyFont="1" applyFill="1" applyBorder="1" applyAlignment="1">
      <alignment horizontal="center" vertical="center"/>
    </xf>
    <xf numFmtId="1" fontId="45" fillId="0" borderId="18" xfId="0" applyNumberFormat="1" applyFont="1" applyBorder="1" applyAlignment="1">
      <alignment horizontal="center" vertical="center"/>
    </xf>
    <xf numFmtId="1" fontId="12" fillId="2" borderId="18" xfId="0" applyNumberFormat="1" applyFont="1" applyFill="1" applyBorder="1" applyAlignment="1">
      <alignment horizontal="center" vertical="center"/>
    </xf>
    <xf numFmtId="1" fontId="45" fillId="5" borderId="18" xfId="0" applyNumberFormat="1" applyFont="1" applyFill="1" applyBorder="1" applyAlignment="1">
      <alignment horizontal="center" vertical="center"/>
    </xf>
    <xf numFmtId="1" fontId="12" fillId="2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/>
    </xf>
    <xf numFmtId="14" fontId="1" fillId="0" borderId="0" xfId="2" applyNumberFormat="1" applyFont="1" applyFill="1" applyBorder="1" applyAlignment="1">
      <alignment horizontal="center" vertical="center"/>
    </xf>
    <xf numFmtId="0" fontId="55" fillId="5" borderId="0" xfId="0" applyFont="1" applyFill="1"/>
    <xf numFmtId="0" fontId="4" fillId="0" borderId="25" xfId="1" applyBorder="1" applyAlignment="1" applyProtection="1"/>
    <xf numFmtId="171" fontId="57" fillId="11" borderId="18" xfId="0" applyNumberFormat="1" applyFont="1" applyFill="1" applyBorder="1" applyAlignment="1">
      <alignment horizontal="center"/>
    </xf>
    <xf numFmtId="174" fontId="0" fillId="9" borderId="18" xfId="0" applyNumberFormat="1" applyFill="1" applyBorder="1" applyAlignment="1">
      <alignment horizontal="center" vertical="center"/>
    </xf>
    <xf numFmtId="0" fontId="0" fillId="0" borderId="66" xfId="0" applyBorder="1"/>
    <xf numFmtId="0" fontId="7" fillId="3" borderId="0" xfId="0" applyFont="1" applyFill="1" applyBorder="1" applyAlignment="1">
      <alignment horizontal="left"/>
    </xf>
    <xf numFmtId="1" fontId="58" fillId="0" borderId="36" xfId="0" applyNumberFormat="1" applyFont="1" applyBorder="1" applyAlignment="1">
      <alignment horizontal="center" shrinkToFit="1"/>
    </xf>
    <xf numFmtId="1" fontId="58" fillId="0" borderId="37" xfId="0" applyNumberFormat="1" applyFont="1" applyBorder="1" applyAlignment="1">
      <alignment horizontal="center" shrinkToFit="1"/>
    </xf>
    <xf numFmtId="1" fontId="58" fillId="0" borderId="0" xfId="0" applyNumberFormat="1" applyFont="1" applyBorder="1" applyAlignment="1">
      <alignment horizontal="center" shrinkToFit="1"/>
    </xf>
    <xf numFmtId="14" fontId="0" fillId="0" borderId="3" xfId="2" applyNumberFormat="1" applyFont="1" applyFill="1" applyBorder="1" applyAlignment="1">
      <alignment horizontal="center" vertical="center"/>
    </xf>
    <xf numFmtId="14" fontId="1" fillId="0" borderId="3" xfId="2" applyNumberFormat="1" applyFont="1" applyFill="1" applyBorder="1" applyAlignment="1">
      <alignment horizontal="center" vertical="center"/>
    </xf>
    <xf numFmtId="14" fontId="0" fillId="0" borderId="67" xfId="2" applyNumberFormat="1" applyFont="1" applyFill="1" applyBorder="1" applyAlignment="1">
      <alignment horizontal="center" vertical="center"/>
    </xf>
    <xf numFmtId="14" fontId="0" fillId="0" borderId="68" xfId="2" applyNumberFormat="1" applyFont="1" applyFill="1" applyBorder="1" applyAlignment="1">
      <alignment horizontal="center" vertical="center"/>
    </xf>
    <xf numFmtId="49" fontId="1" fillId="0" borderId="18" xfId="3" applyNumberFormat="1" applyFont="1" applyFill="1" applyBorder="1" applyAlignment="1">
      <alignment horizontal="center"/>
    </xf>
    <xf numFmtId="49" fontId="0" fillId="0" borderId="18" xfId="3" applyNumberFormat="1" applyFont="1" applyFill="1" applyBorder="1" applyAlignment="1">
      <alignment horizontal="center"/>
    </xf>
    <xf numFmtId="0" fontId="39" fillId="0" borderId="2" xfId="0" applyFont="1" applyBorder="1" applyAlignment="1">
      <alignment vertical="top" wrapText="1"/>
    </xf>
    <xf numFmtId="0" fontId="39" fillId="0" borderId="69" xfId="0" applyFont="1" applyBorder="1" applyAlignment="1">
      <alignment vertical="top" wrapText="1"/>
    </xf>
    <xf numFmtId="0" fontId="0" fillId="0" borderId="69" xfId="0" applyBorder="1" applyAlignment="1">
      <alignment horizontal="left"/>
    </xf>
    <xf numFmtId="0" fontId="2" fillId="0" borderId="70" xfId="0" applyFont="1" applyBorder="1" applyAlignment="1">
      <alignment horizontal="left"/>
    </xf>
    <xf numFmtId="0" fontId="2" fillId="0" borderId="69" xfId="0" applyFont="1" applyBorder="1" applyAlignment="1">
      <alignment horizontal="left"/>
    </xf>
    <xf numFmtId="0" fontId="39" fillId="0" borderId="70" xfId="0" applyFont="1" applyBorder="1" applyAlignment="1">
      <alignment vertical="top" wrapText="1"/>
    </xf>
    <xf numFmtId="0" fontId="39" fillId="0" borderId="71" xfId="0" applyFont="1" applyBorder="1" applyAlignment="1">
      <alignment vertical="top" wrapText="1"/>
    </xf>
    <xf numFmtId="171" fontId="0" fillId="0" borderId="28" xfId="0" applyNumberFormat="1" applyBorder="1"/>
    <xf numFmtId="171" fontId="61" fillId="0" borderId="28" xfId="0" applyNumberFormat="1" applyFont="1" applyBorder="1"/>
    <xf numFmtId="171" fontId="62" fillId="0" borderId="18" xfId="0" applyNumberFormat="1" applyFont="1" applyBorder="1"/>
    <xf numFmtId="0" fontId="62" fillId="0" borderId="28" xfId="0" applyFont="1" applyBorder="1"/>
    <xf numFmtId="0" fontId="63" fillId="0" borderId="35" xfId="0" applyFont="1" applyBorder="1" applyAlignment="1">
      <alignment horizontal="center"/>
    </xf>
    <xf numFmtId="0" fontId="22" fillId="0" borderId="0" xfId="0" applyFont="1" applyFill="1" applyBorder="1" applyAlignment="1">
      <alignment horizontal="left" vertical="center"/>
    </xf>
    <xf numFmtId="0" fontId="55" fillId="0" borderId="0" xfId="0" applyFont="1"/>
    <xf numFmtId="0" fontId="64" fillId="0" borderId="0" xfId="0" applyFont="1" applyAlignment="1"/>
    <xf numFmtId="0" fontId="0" fillId="6" borderId="0" xfId="0" applyFill="1"/>
    <xf numFmtId="0" fontId="1" fillId="19" borderId="39" xfId="0" applyFont="1" applyFill="1" applyBorder="1" applyAlignment="1">
      <alignment vertical="center" wrapText="1"/>
    </xf>
    <xf numFmtId="0" fontId="1" fillId="19" borderId="51" xfId="0" applyFont="1" applyFill="1" applyBorder="1" applyAlignment="1">
      <alignment vertical="center" wrapText="1"/>
    </xf>
    <xf numFmtId="0" fontId="54" fillId="22" borderId="55" xfId="0" applyFont="1" applyFill="1" applyBorder="1" applyAlignment="1">
      <alignment wrapText="1"/>
    </xf>
    <xf numFmtId="0" fontId="27" fillId="22" borderId="55" xfId="0" applyFont="1" applyFill="1" applyBorder="1" applyAlignment="1">
      <alignment horizontal="center" vertical="center" wrapText="1"/>
    </xf>
    <xf numFmtId="0" fontId="65" fillId="23" borderId="55" xfId="0" applyFont="1" applyFill="1" applyBorder="1" applyAlignment="1">
      <alignment wrapText="1"/>
    </xf>
    <xf numFmtId="0" fontId="1" fillId="0" borderId="55" xfId="0" applyFont="1" applyBorder="1" applyAlignment="1">
      <alignment wrapText="1"/>
    </xf>
    <xf numFmtId="0" fontId="1" fillId="22" borderId="55" xfId="0" applyFont="1" applyFill="1" applyBorder="1" applyAlignment="1">
      <alignment horizontal="center" wrapText="1"/>
    </xf>
    <xf numFmtId="175" fontId="1" fillId="22" borderId="55" xfId="0" applyNumberFormat="1" applyFont="1" applyFill="1" applyBorder="1" applyAlignment="1">
      <alignment horizontal="center" wrapText="1"/>
    </xf>
    <xf numFmtId="0" fontId="54" fillId="22" borderId="51" xfId="0" applyFont="1" applyFill="1" applyBorder="1" applyAlignment="1">
      <alignment vertical="center"/>
    </xf>
    <xf numFmtId="0" fontId="1" fillId="22" borderId="51" xfId="0" applyFont="1" applyFill="1" applyBorder="1" applyAlignment="1">
      <alignment wrapText="1"/>
    </xf>
    <xf numFmtId="0" fontId="27" fillId="22" borderId="56" xfId="0" applyFont="1" applyFill="1" applyBorder="1" applyAlignment="1">
      <alignment horizontal="center" wrapText="1"/>
    </xf>
    <xf numFmtId="14" fontId="66" fillId="0" borderId="63" xfId="0" applyNumberFormat="1" applyFont="1" applyFill="1" applyBorder="1" applyAlignment="1">
      <alignment horizontal="center" vertical="center" wrapText="1"/>
    </xf>
    <xf numFmtId="14" fontId="66" fillId="0" borderId="64" xfId="0" applyNumberFormat="1" applyFont="1" applyFill="1" applyBorder="1" applyAlignment="1">
      <alignment horizontal="center" vertical="center" wrapText="1"/>
    </xf>
    <xf numFmtId="14" fontId="66" fillId="0" borderId="65" xfId="0" applyNumberFormat="1" applyFont="1" applyFill="1" applyBorder="1" applyAlignment="1">
      <alignment horizontal="center" vertical="center" wrapText="1"/>
    </xf>
    <xf numFmtId="175" fontId="1" fillId="22" borderId="55" xfId="0" applyNumberFormat="1" applyFont="1" applyFill="1" applyBorder="1" applyAlignment="1">
      <alignment horizontal="center" vertical="center" wrapText="1"/>
    </xf>
    <xf numFmtId="0" fontId="1" fillId="22" borderId="72" xfId="0" applyFont="1" applyFill="1" applyBorder="1" applyAlignment="1">
      <alignment horizontal="center" vertical="center" wrapText="1"/>
    </xf>
    <xf numFmtId="0" fontId="54" fillId="22" borderId="73" xfId="0" applyFont="1" applyFill="1" applyBorder="1" applyAlignment="1">
      <alignment wrapText="1"/>
    </xf>
    <xf numFmtId="0" fontId="53" fillId="22" borderId="73" xfId="0" applyFont="1" applyFill="1" applyBorder="1" applyAlignment="1">
      <alignment wrapText="1"/>
    </xf>
    <xf numFmtId="0" fontId="1" fillId="22" borderId="74" xfId="0" applyFont="1" applyFill="1" applyBorder="1" applyAlignment="1">
      <alignment horizontal="center" vertical="center" wrapText="1"/>
    </xf>
    <xf numFmtId="175" fontId="1" fillId="22" borderId="75" xfId="0" applyNumberFormat="1" applyFont="1" applyFill="1" applyBorder="1" applyAlignment="1">
      <alignment horizontal="center" vertical="center" wrapText="1"/>
    </xf>
    <xf numFmtId="0" fontId="27" fillId="22" borderId="76" xfId="0" applyFont="1" applyFill="1" applyBorder="1" applyAlignment="1">
      <alignment horizontal="center" wrapText="1"/>
    </xf>
    <xf numFmtId="0" fontId="1" fillId="22" borderId="75" xfId="0" applyFont="1" applyFill="1" applyBorder="1" applyAlignment="1">
      <alignment horizontal="center" wrapText="1"/>
    </xf>
    <xf numFmtId="0" fontId="53" fillId="22" borderId="77" xfId="0" applyFont="1" applyFill="1" applyBorder="1" applyAlignment="1">
      <alignment wrapText="1"/>
    </xf>
    <xf numFmtId="176" fontId="19" fillId="5" borderId="18" xfId="0" applyNumberFormat="1" applyFont="1" applyFill="1" applyBorder="1" applyAlignment="1">
      <alignment horizontal="center" vertical="center"/>
    </xf>
    <xf numFmtId="177" fontId="19" fillId="5" borderId="18" xfId="0" applyNumberFormat="1" applyFont="1" applyFill="1" applyBorder="1" applyAlignment="1">
      <alignment horizontal="center" vertical="center"/>
    </xf>
    <xf numFmtId="14" fontId="52" fillId="22" borderId="55" xfId="0" applyNumberFormat="1" applyFont="1" applyFill="1" applyBorder="1" applyAlignment="1">
      <alignment horizontal="center" vertical="center" wrapText="1"/>
    </xf>
    <xf numFmtId="0" fontId="67" fillId="16" borderId="55" xfId="0" applyFont="1" applyFill="1" applyBorder="1" applyAlignment="1">
      <alignment horizontal="center" vertical="center" wrapText="1"/>
    </xf>
    <xf numFmtId="0" fontId="65" fillId="23" borderId="55" xfId="0" applyFont="1" applyFill="1" applyBorder="1" applyAlignment="1">
      <alignment horizontal="center" wrapText="1"/>
    </xf>
    <xf numFmtId="0" fontId="65" fillId="23" borderId="55" xfId="0" applyFont="1" applyFill="1" applyBorder="1" applyAlignment="1">
      <alignment horizontal="center" vertical="center" wrapText="1"/>
    </xf>
    <xf numFmtId="0" fontId="54" fillId="16" borderId="55" xfId="0" applyFont="1" applyFill="1" applyBorder="1" applyAlignment="1">
      <alignment horizontal="center" vertical="center" wrapText="1"/>
    </xf>
    <xf numFmtId="0" fontId="53" fillId="15" borderId="55" xfId="0" applyFont="1" applyFill="1" applyBorder="1" applyAlignment="1">
      <alignment horizontal="center" vertical="center" wrapText="1"/>
    </xf>
    <xf numFmtId="0" fontId="68" fillId="24" borderId="55" xfId="0" applyFont="1" applyFill="1" applyBorder="1" applyAlignment="1">
      <alignment horizontal="center" vertical="center" wrapText="1"/>
    </xf>
    <xf numFmtId="0" fontId="53" fillId="7" borderId="55" xfId="0" applyFont="1" applyFill="1" applyBorder="1" applyAlignment="1">
      <alignment horizontal="center" wrapText="1"/>
    </xf>
    <xf numFmtId="0" fontId="69" fillId="22" borderId="55" xfId="0" applyFont="1" applyFill="1" applyBorder="1" applyAlignment="1">
      <alignment horizontal="center" vertical="center" wrapText="1"/>
    </xf>
    <xf numFmtId="15" fontId="1" fillId="0" borderId="18" xfId="0" applyNumberFormat="1" applyFont="1" applyFill="1" applyBorder="1" applyAlignment="1">
      <alignment horizontal="center"/>
    </xf>
    <xf numFmtId="0" fontId="27" fillId="0" borderId="55" xfId="0" applyFont="1" applyBorder="1" applyAlignment="1">
      <alignment horizontal="center" wrapText="1"/>
    </xf>
    <xf numFmtId="14" fontId="52" fillId="0" borderId="55" xfId="0" applyNumberFormat="1" applyFont="1" applyBorder="1" applyAlignment="1">
      <alignment horizontal="center" wrapText="1"/>
    </xf>
    <xf numFmtId="0" fontId="27" fillId="25" borderId="55" xfId="0" applyFont="1" applyFill="1" applyBorder="1" applyAlignment="1">
      <alignment horizontal="center" vertical="center" wrapText="1"/>
    </xf>
    <xf numFmtId="14" fontId="66" fillId="22" borderId="55" xfId="0" applyNumberFormat="1" applyFont="1" applyFill="1" applyBorder="1" applyAlignment="1">
      <alignment horizontal="center" vertical="center" wrapText="1"/>
    </xf>
    <xf numFmtId="0" fontId="70" fillId="15" borderId="51" xfId="0" applyFont="1" applyFill="1" applyBorder="1" applyAlignment="1">
      <alignment vertical="center"/>
    </xf>
    <xf numFmtId="0" fontId="71" fillId="25" borderId="55" xfId="0" applyFont="1" applyFill="1" applyBorder="1" applyAlignment="1">
      <alignment wrapText="1"/>
    </xf>
    <xf numFmtId="0" fontId="36" fillId="22" borderId="55" xfId="0" applyFont="1" applyFill="1" applyBorder="1" applyAlignment="1">
      <alignment horizontal="center" wrapText="1"/>
    </xf>
    <xf numFmtId="0" fontId="0" fillId="0" borderId="18" xfId="0" applyNumberFormat="1" applyFont="1" applyFill="1" applyBorder="1" applyAlignment="1">
      <alignment horizontal="center" vertical="center"/>
    </xf>
    <xf numFmtId="0" fontId="0" fillId="0" borderId="18" xfId="0" applyNumberFormat="1" applyFont="1" applyFill="1" applyBorder="1" applyAlignment="1">
      <alignment horizontal="center"/>
    </xf>
    <xf numFmtId="0" fontId="50" fillId="19" borderId="78" xfId="0" applyFont="1" applyFill="1" applyBorder="1" applyAlignment="1">
      <alignment horizontal="center" vertical="center" wrapText="1"/>
    </xf>
    <xf numFmtId="0" fontId="48" fillId="22" borderId="58" xfId="0" applyFont="1" applyFill="1" applyBorder="1" applyAlignment="1">
      <alignment horizontal="center" vertical="center" wrapText="1"/>
    </xf>
    <xf numFmtId="0" fontId="48" fillId="22" borderId="59" xfId="0" applyFont="1" applyFill="1" applyBorder="1" applyAlignment="1">
      <alignment horizontal="center" vertical="center" wrapText="1"/>
    </xf>
    <xf numFmtId="0" fontId="48" fillId="22" borderId="59" xfId="0" applyFont="1" applyFill="1" applyBorder="1" applyAlignment="1">
      <alignment wrapText="1"/>
    </xf>
    <xf numFmtId="3" fontId="48" fillId="22" borderId="59" xfId="0" applyNumberFormat="1" applyFont="1" applyFill="1" applyBorder="1" applyAlignment="1">
      <alignment horizontal="center" vertical="center" wrapText="1"/>
    </xf>
    <xf numFmtId="0" fontId="51" fillId="22" borderId="59" xfId="0" applyFont="1" applyFill="1" applyBorder="1" applyAlignment="1">
      <alignment vertical="center" wrapText="1"/>
    </xf>
    <xf numFmtId="14" fontId="52" fillId="0" borderId="59" xfId="0" applyNumberFormat="1" applyFont="1" applyBorder="1" applyAlignment="1">
      <alignment horizontal="center" wrapText="1"/>
    </xf>
    <xf numFmtId="0" fontId="27" fillId="0" borderId="59" xfId="0" applyFont="1" applyBorder="1" applyAlignment="1">
      <alignment horizontal="center" wrapText="1"/>
    </xf>
    <xf numFmtId="0" fontId="1" fillId="22" borderId="59" xfId="0" applyFont="1" applyFill="1" applyBorder="1" applyAlignment="1">
      <alignment wrapText="1"/>
    </xf>
    <xf numFmtId="0" fontId="65" fillId="23" borderId="59" xfId="0" applyFont="1" applyFill="1" applyBorder="1" applyAlignment="1">
      <alignment horizontal="center" wrapText="1"/>
    </xf>
    <xf numFmtId="0" fontId="1" fillId="22" borderId="59" xfId="0" applyFont="1" applyFill="1" applyBorder="1" applyAlignment="1">
      <alignment vertical="center" wrapText="1"/>
    </xf>
    <xf numFmtId="0" fontId="54" fillId="22" borderId="55" xfId="0" applyFont="1" applyFill="1" applyBorder="1" applyAlignment="1">
      <alignment horizontal="center" wrapText="1"/>
    </xf>
    <xf numFmtId="0" fontId="65" fillId="22" borderId="55" xfId="0" applyFont="1" applyFill="1" applyBorder="1" applyAlignment="1">
      <alignment horizontal="center" wrapText="1"/>
    </xf>
    <xf numFmtId="0" fontId="48" fillId="26" borderId="57" xfId="0" applyFont="1" applyFill="1" applyBorder="1" applyAlignment="1">
      <alignment horizontal="center" vertical="center" wrapText="1"/>
    </xf>
    <xf numFmtId="0" fontId="48" fillId="26" borderId="55" xfId="0" applyFont="1" applyFill="1" applyBorder="1" applyAlignment="1">
      <alignment horizontal="center" vertical="center" wrapText="1"/>
    </xf>
    <xf numFmtId="0" fontId="48" fillId="26" borderId="55" xfId="0" applyFont="1" applyFill="1" applyBorder="1" applyAlignment="1">
      <alignment wrapText="1"/>
    </xf>
    <xf numFmtId="3" fontId="48" fillId="26" borderId="55" xfId="0" applyNumberFormat="1" applyFont="1" applyFill="1" applyBorder="1" applyAlignment="1">
      <alignment horizontal="center" vertical="center" wrapText="1"/>
    </xf>
    <xf numFmtId="0" fontId="22" fillId="26" borderId="55" xfId="0" applyFont="1" applyFill="1" applyBorder="1" applyAlignment="1">
      <alignment vertical="center" wrapText="1"/>
    </xf>
    <xf numFmtId="14" fontId="52" fillId="26" borderId="55" xfId="0" applyNumberFormat="1" applyFont="1" applyFill="1" applyBorder="1" applyAlignment="1">
      <alignment horizontal="center" wrapText="1"/>
    </xf>
    <xf numFmtId="0" fontId="27" fillId="26" borderId="55" xfId="0" applyFont="1" applyFill="1" applyBorder="1" applyAlignment="1">
      <alignment horizontal="center" wrapText="1"/>
    </xf>
    <xf numFmtId="0" fontId="1" fillId="26" borderId="55" xfId="0" applyFont="1" applyFill="1" applyBorder="1" applyAlignment="1">
      <alignment wrapText="1"/>
    </xf>
    <xf numFmtId="0" fontId="1" fillId="26" borderId="55" xfId="0" applyFont="1" applyFill="1" applyBorder="1" applyAlignment="1">
      <alignment vertical="center" wrapText="1"/>
    </xf>
    <xf numFmtId="0" fontId="51" fillId="26" borderId="55" xfId="0" applyFont="1" applyFill="1" applyBorder="1" applyAlignment="1">
      <alignment vertical="center" wrapText="1"/>
    </xf>
    <xf numFmtId="0" fontId="1" fillId="21" borderId="57" xfId="0" applyFont="1" applyFill="1" applyBorder="1" applyAlignment="1">
      <alignment vertical="center" wrapText="1"/>
    </xf>
    <xf numFmtId="0" fontId="1" fillId="26" borderId="79" xfId="0" applyFont="1" applyFill="1" applyBorder="1" applyAlignment="1">
      <alignment vertical="center"/>
    </xf>
    <xf numFmtId="1" fontId="37" fillId="10" borderId="18" xfId="0" applyNumberFormat="1" applyFont="1" applyFill="1" applyBorder="1" applyAlignment="1">
      <alignment horizontal="center" vertical="center"/>
    </xf>
    <xf numFmtId="15" fontId="37" fillId="10" borderId="18" xfId="0" applyNumberFormat="1" applyFont="1" applyFill="1" applyBorder="1" applyAlignment="1">
      <alignment horizontal="center" vertical="center"/>
    </xf>
    <xf numFmtId="1" fontId="37" fillId="0" borderId="18" xfId="0" applyNumberFormat="1" applyFont="1" applyBorder="1" applyAlignment="1">
      <alignment horizontal="center" vertical="center"/>
    </xf>
    <xf numFmtId="15" fontId="37" fillId="0" borderId="18" xfId="0" applyNumberFormat="1" applyFont="1" applyBorder="1" applyAlignment="1">
      <alignment horizontal="center" vertical="center"/>
    </xf>
    <xf numFmtId="0" fontId="37" fillId="0" borderId="18" xfId="0" applyNumberFormat="1" applyFont="1" applyBorder="1" applyAlignment="1">
      <alignment horizontal="center" vertical="center"/>
    </xf>
    <xf numFmtId="0" fontId="37" fillId="10" borderId="18" xfId="0" applyNumberFormat="1" applyFont="1" applyFill="1" applyBorder="1" applyAlignment="1">
      <alignment horizontal="center" vertical="center"/>
    </xf>
    <xf numFmtId="1" fontId="37" fillId="10" borderId="18" xfId="0" applyNumberFormat="1" applyFont="1" applyFill="1" applyBorder="1" applyAlignment="1">
      <alignment horizontal="center"/>
    </xf>
    <xf numFmtId="15" fontId="37" fillId="10" borderId="18" xfId="0" applyNumberFormat="1" applyFont="1" applyFill="1" applyBorder="1" applyAlignment="1">
      <alignment horizontal="center"/>
    </xf>
    <xf numFmtId="0" fontId="37" fillId="10" borderId="18" xfId="0" applyNumberFormat="1" applyFont="1" applyFill="1" applyBorder="1" applyAlignment="1">
      <alignment horizontal="center"/>
    </xf>
    <xf numFmtId="1" fontId="37" fillId="0" borderId="18" xfId="0" applyNumberFormat="1" applyFont="1" applyBorder="1" applyAlignment="1">
      <alignment horizontal="center"/>
    </xf>
    <xf numFmtId="15" fontId="37" fillId="0" borderId="18" xfId="0" applyNumberFormat="1" applyFont="1" applyBorder="1" applyAlignment="1">
      <alignment horizontal="center"/>
    </xf>
    <xf numFmtId="0" fontId="37" fillId="0" borderId="18" xfId="0" applyNumberFormat="1" applyFont="1" applyBorder="1" applyAlignment="1">
      <alignment horizontal="center"/>
    </xf>
    <xf numFmtId="0" fontId="21" fillId="5" borderId="0" xfId="0" applyFont="1" applyFill="1" applyAlignment="1">
      <alignment horizontal="center" vertical="top" wrapText="1"/>
    </xf>
    <xf numFmtId="0" fontId="21" fillId="5" borderId="0" xfId="0" applyFont="1" applyFill="1" applyAlignment="1">
      <alignment horizontal="center" vertical="top"/>
    </xf>
    <xf numFmtId="0" fontId="28" fillId="5" borderId="0" xfId="0" applyFont="1" applyFill="1" applyAlignment="1">
      <alignment horizontal="center" vertical="center"/>
    </xf>
    <xf numFmtId="0" fontId="33" fillId="5" borderId="0" xfId="0" applyFont="1" applyFill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33" fillId="5" borderId="17" xfId="0" applyFont="1" applyFill="1" applyBorder="1" applyAlignment="1">
      <alignment horizontal="center" vertical="top"/>
    </xf>
    <xf numFmtId="0" fontId="19" fillId="0" borderId="18" xfId="0" applyFont="1" applyBorder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9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0" fontId="15" fillId="4" borderId="24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0" fillId="0" borderId="0" xfId="0" applyFont="1" applyAlignment="1">
      <alignment horizontal="left"/>
    </xf>
    <xf numFmtId="167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9" fillId="4" borderId="25" xfId="0" applyFont="1" applyFill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5" fillId="0" borderId="0" xfId="0" applyFont="1" applyAlignment="1">
      <alignment horizontal="left" wrapText="1"/>
    </xf>
    <xf numFmtId="166" fontId="10" fillId="0" borderId="0" xfId="0" applyNumberFormat="1" applyFont="1" applyAlignment="1">
      <alignment horizontal="left" vertical="center" wrapText="1"/>
    </xf>
    <xf numFmtId="0" fontId="13" fillId="0" borderId="26" xfId="0" applyFont="1" applyBorder="1" applyAlignment="1">
      <alignment horizontal="center"/>
    </xf>
    <xf numFmtId="0" fontId="34" fillId="0" borderId="29" xfId="0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4" fillId="0" borderId="0" xfId="0" applyFont="1" applyAlignment="1">
      <alignment horizontal="center"/>
    </xf>
    <xf numFmtId="1" fontId="46" fillId="18" borderId="18" xfId="0" applyNumberFormat="1" applyFont="1" applyFill="1" applyBorder="1" applyAlignment="1">
      <alignment horizontal="center" vertical="center"/>
    </xf>
    <xf numFmtId="1" fontId="45" fillId="0" borderId="18" xfId="0" applyNumberFormat="1" applyFont="1" applyBorder="1" applyAlignment="1">
      <alignment horizontal="center" vertical="center"/>
    </xf>
    <xf numFmtId="1" fontId="12" fillId="2" borderId="18" xfId="0" applyNumberFormat="1" applyFont="1" applyFill="1" applyBorder="1" applyAlignment="1">
      <alignment horizontal="center" vertical="center"/>
    </xf>
    <xf numFmtId="1" fontId="45" fillId="5" borderId="18" xfId="0" applyNumberFormat="1" applyFont="1" applyFill="1" applyBorder="1" applyAlignment="1">
      <alignment horizontal="center" vertical="center"/>
    </xf>
    <xf numFmtId="0" fontId="47" fillId="19" borderId="52" xfId="0" applyFont="1" applyFill="1" applyBorder="1" applyAlignment="1">
      <alignment vertical="center" wrapText="1"/>
    </xf>
    <xf numFmtId="0" fontId="47" fillId="19" borderId="53" xfId="0" applyFont="1" applyFill="1" applyBorder="1" applyAlignment="1">
      <alignment vertical="center" wrapText="1"/>
    </xf>
    <xf numFmtId="0" fontId="48" fillId="19" borderId="40" xfId="0" applyFont="1" applyFill="1" applyBorder="1" applyAlignment="1">
      <alignment vertical="center" wrapText="1"/>
    </xf>
    <xf numFmtId="0" fontId="48" fillId="19" borderId="42" xfId="0" applyFont="1" applyFill="1" applyBorder="1" applyAlignment="1">
      <alignment vertical="center" wrapText="1"/>
    </xf>
    <xf numFmtId="0" fontId="48" fillId="19" borderId="41" xfId="0" applyFont="1" applyFill="1" applyBorder="1" applyAlignment="1">
      <alignment vertical="center" wrapText="1"/>
    </xf>
    <xf numFmtId="0" fontId="47" fillId="19" borderId="40" xfId="0" applyFont="1" applyFill="1" applyBorder="1" applyAlignment="1">
      <alignment vertical="center" wrapText="1"/>
    </xf>
    <xf numFmtId="0" fontId="47" fillId="19" borderId="41" xfId="0" applyFont="1" applyFill="1" applyBorder="1" applyAlignment="1">
      <alignment vertical="center" wrapText="1"/>
    </xf>
    <xf numFmtId="0" fontId="49" fillId="20" borderId="43" xfId="0" applyFont="1" applyFill="1" applyBorder="1" applyAlignment="1">
      <alignment horizontal="center" vertical="center" wrapText="1"/>
    </xf>
    <xf numFmtId="0" fontId="49" fillId="20" borderId="44" xfId="0" applyFont="1" applyFill="1" applyBorder="1" applyAlignment="1">
      <alignment horizontal="center" vertical="center" wrapText="1"/>
    </xf>
    <xf numFmtId="0" fontId="49" fillId="20" borderId="45" xfId="0" applyFont="1" applyFill="1" applyBorder="1" applyAlignment="1">
      <alignment horizontal="center" vertical="center" wrapText="1"/>
    </xf>
    <xf numFmtId="0" fontId="49" fillId="20" borderId="46" xfId="0" applyFont="1" applyFill="1" applyBorder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 wrapText="1"/>
    </xf>
    <xf numFmtId="0" fontId="49" fillId="20" borderId="47" xfId="0" applyFont="1" applyFill="1" applyBorder="1" applyAlignment="1">
      <alignment horizontal="center" vertical="center" wrapText="1"/>
    </xf>
    <xf numFmtId="0" fontId="49" fillId="20" borderId="48" xfId="0" applyFont="1" applyFill="1" applyBorder="1" applyAlignment="1">
      <alignment horizontal="center" vertical="center" wrapText="1"/>
    </xf>
    <xf numFmtId="0" fontId="49" fillId="20" borderId="49" xfId="0" applyFont="1" applyFill="1" applyBorder="1" applyAlignment="1">
      <alignment horizontal="center" vertical="center" wrapText="1"/>
    </xf>
    <xf numFmtId="0" fontId="49" fillId="20" borderId="50" xfId="0" applyFont="1" applyFill="1" applyBorder="1" applyAlignment="1">
      <alignment horizontal="center" vertical="center" wrapText="1"/>
    </xf>
    <xf numFmtId="0" fontId="47" fillId="19" borderId="42" xfId="0" applyFont="1" applyFill="1" applyBorder="1" applyAlignment="1">
      <alignment vertical="center" wrapText="1"/>
    </xf>
    <xf numFmtId="0" fontId="27" fillId="6" borderId="62" xfId="0" applyFont="1" applyFill="1" applyBorder="1" applyAlignment="1">
      <alignment horizontal="center" vertical="center" wrapText="1"/>
    </xf>
    <xf numFmtId="0" fontId="27" fillId="6" borderId="56" xfId="0" applyFont="1" applyFill="1" applyBorder="1" applyAlignment="1">
      <alignment horizontal="center" vertical="center" wrapText="1"/>
    </xf>
    <xf numFmtId="0" fontId="27" fillId="6" borderId="54" xfId="0" applyFont="1" applyFill="1" applyBorder="1" applyAlignment="1">
      <alignment horizontal="center" vertical="center" wrapText="1"/>
    </xf>
    <xf numFmtId="0" fontId="27" fillId="7" borderId="62" xfId="0" applyFont="1" applyFill="1" applyBorder="1" applyAlignment="1">
      <alignment horizontal="center" vertical="center" wrapText="1"/>
    </xf>
    <xf numFmtId="0" fontId="27" fillId="7" borderId="54" xfId="0" applyFont="1" applyFill="1" applyBorder="1" applyAlignment="1">
      <alignment horizontal="center" vertical="center" wrapText="1"/>
    </xf>
    <xf numFmtId="0" fontId="27" fillId="7" borderId="56" xfId="0" applyFont="1" applyFill="1" applyBorder="1" applyAlignment="1">
      <alignment horizontal="center" vertical="center" wrapText="1"/>
    </xf>
    <xf numFmtId="0" fontId="27" fillId="9" borderId="62" xfId="0" applyFont="1" applyFill="1" applyBorder="1" applyAlignment="1">
      <alignment horizontal="center" vertical="center" wrapText="1"/>
    </xf>
    <xf numFmtId="0" fontId="27" fillId="9" borderId="56" xfId="0" applyFont="1" applyFill="1" applyBorder="1" applyAlignment="1">
      <alignment horizontal="center" vertical="center" wrapText="1"/>
    </xf>
    <xf numFmtId="0" fontId="36" fillId="0" borderId="0" xfId="0" applyFont="1" applyFill="1" applyBorder="1"/>
    <xf numFmtId="0" fontId="39" fillId="0" borderId="18" xfId="0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/>
    </xf>
    <xf numFmtId="1" fontId="72" fillId="0" borderId="36" xfId="0" applyNumberFormat="1" applyFont="1" applyBorder="1" applyAlignment="1">
      <alignment horizontal="center" shrinkToFit="1"/>
    </xf>
    <xf numFmtId="14" fontId="0" fillId="0" borderId="81" xfId="2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/>
  </cellXfs>
  <cellStyles count="7">
    <cellStyle name="Hipervínculo" xfId="1" builtinId="8"/>
    <cellStyle name="Incorrecto" xfId="6" builtinId="27"/>
    <cellStyle name="Millares" xfId="2" builtinId="3"/>
    <cellStyle name="Millares [0]" xfId="3" builtinId="6"/>
    <cellStyle name="Normal" xfId="0" builtinId="0"/>
    <cellStyle name="Normal 2" xfId="5"/>
    <cellStyle name="Porcentaje" xfId="4" builtinId="5"/>
  </cellStyles>
  <dxfs count="442"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1" formatCode="[$$-2C0A]\ 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171" formatCode="[$$-2C0A]\ 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171" formatCode="[$$-2C0A]\ 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171" formatCode="[$$-2C0A]\ 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1" formatCode="[$$-2C0A]\ 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1" formatCode="0"/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1" formatCode="0"/>
      <fill>
        <patternFill patternType="solid">
          <fgColor indexed="64"/>
          <bgColor rgb="FFC6EFCE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family val="2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30" formatCode="@"/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30" formatCode="@"/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family val="2"/>
        <scheme val="none"/>
      </font>
      <numFmt numFmtId="30" formatCode="@"/>
      <fill>
        <patternFill patternType="solid">
          <fgColor indexed="64"/>
          <bgColor rgb="FFFFC7CE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0" formatCode="d\-mmm\-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30" formatCode="@"/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0006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family val="2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5" formatCode="00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scheme val="none"/>
      </font>
      <numFmt numFmtId="168" formatCode="_-* #,##0_-;\-* #,##0_-;_-* &quot;-&quot;??_-;_-@_-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30" formatCode="@"/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family val="2"/>
        <scheme val="none"/>
      </font>
      <numFmt numFmtId="19" formatCode="d/m/yyyy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5" formatCode="00"/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scheme val="none"/>
      </font>
      <numFmt numFmtId="168" formatCode="_-* #,##0_-;\-* #,##0_-;_-* &quot;-&quot;??_-;_-@_-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family val="2"/>
        <scheme val="none"/>
      </font>
      <numFmt numFmtId="30" formatCode="@"/>
      <fill>
        <patternFill patternType="solid">
          <fgColor indexed="64"/>
          <bgColor rgb="FFC6EFCE"/>
        </patternFill>
      </fill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hair">
          <color indexed="63"/>
        </top>
        <bottom style="hair">
          <color indexed="6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3"/>
        </left>
        <right style="hair">
          <color indexed="6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0"/>
        <name val="Arial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 MT"/>
        <scheme val="none"/>
      </font>
      <numFmt numFmtId="1" formatCode="0"/>
      <alignment horizontal="center" vertical="bottom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MT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rgb="FF000000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1" defaultTableStyle="TableStyleMedium2" defaultPivotStyle="PivotStyleLight16">
    <tableStyle name="Estilo de tabla 1" pivot="0" count="0"/>
  </tableStyles>
  <colors>
    <mruColors>
      <color rgb="FFCC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svg"/><Relationship Id="rId3" Type="http://schemas.openxmlformats.org/officeDocument/2006/relationships/hyperlink" Target="#COOPERADORA!A1"/><Relationship Id="rId7" Type="http://schemas.openxmlformats.org/officeDocument/2006/relationships/image" Target="../media/image4.svg"/><Relationship Id="rId12" Type="http://schemas.openxmlformats.org/officeDocument/2006/relationships/image" Target="../media/image9.png"/><Relationship Id="rId2" Type="http://schemas.openxmlformats.org/officeDocument/2006/relationships/hyperlink" Target="#'BASE DE ESTUDIANTES'!A1"/><Relationship Id="rId16" Type="http://schemas.openxmlformats.org/officeDocument/2006/relationships/image" Target="../media/image12.svg"/><Relationship Id="rId1" Type="http://schemas.openxmlformats.org/officeDocument/2006/relationships/hyperlink" Target="#INICIO!A1"/><Relationship Id="rId6" Type="http://schemas.openxmlformats.org/officeDocument/2006/relationships/image" Target="../media/image3.png"/><Relationship Id="rId11" Type="http://schemas.openxmlformats.org/officeDocument/2006/relationships/image" Target="../media/image8.svg"/><Relationship Id="rId5" Type="http://schemas.openxmlformats.org/officeDocument/2006/relationships/hyperlink" Target="#TECNICATURAS!A1"/><Relationship Id="rId15" Type="http://schemas.openxmlformats.org/officeDocument/2006/relationships/image" Target="../media/image11.png"/><Relationship Id="rId10" Type="http://schemas.openxmlformats.org/officeDocument/2006/relationships/image" Target="../media/image7.png"/><Relationship Id="rId4" Type="http://schemas.openxmlformats.org/officeDocument/2006/relationships/hyperlink" Target="#CERTIFICADOS!A1"/><Relationship Id="rId9" Type="http://schemas.openxmlformats.org/officeDocument/2006/relationships/image" Target="../media/image6.svg"/><Relationship Id="rId14" Type="http://schemas.openxmlformats.org/officeDocument/2006/relationships/hyperlink" Target="#'BASE DATOS'!A1"/></Relationships>
</file>

<file path=xl/diagram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10" Type="http://schemas.openxmlformats.org/officeDocument/2006/relationships/image" Target="../media/image12.svg"/><Relationship Id="rId4" Type="http://schemas.openxmlformats.org/officeDocument/2006/relationships/image" Target="../media/image6.svg"/><Relationship Id="rId9" Type="http://schemas.openxmlformats.org/officeDocument/2006/relationships/image" Target="../media/image11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0FC678C7-1425-4622-A8D8-0AF8E5CE4A8B}" type="doc">
      <dgm:prSet loTypeId="urn:microsoft.com/office/officeart/2005/8/layout/vList3" loCatId="list" qsTypeId="urn:microsoft.com/office/officeart/2005/8/quickstyle/simple1" qsCatId="simple" csTypeId="urn:microsoft.com/office/officeart/2005/8/colors/accent1_2" csCatId="accent1" phldr="1"/>
      <dgm:spPr/>
    </dgm:pt>
    <dgm:pt modelId="{90A2DFBC-905A-4623-B805-EEE1F95C30DA}">
      <dgm:prSet phldrT="[Texto]"/>
      <dgm:spPr>
        <a:solidFill>
          <a:schemeClr val="tx1"/>
        </a:solidFill>
      </dgm:spPr>
      <dgm:t>
        <a:bodyPr/>
        <a:lstStyle/>
        <a:p>
          <a:r>
            <a:rPr lang="es-AR"/>
            <a:t>INICIO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2ED73DB2-1661-4151-8564-5D48E5AACC6F}" type="parTrans" cxnId="{EFD59889-9A1E-458F-A045-A284636C6346}">
      <dgm:prSet/>
      <dgm:spPr/>
      <dgm:t>
        <a:bodyPr/>
        <a:lstStyle/>
        <a:p>
          <a:endParaRPr lang="es-AR"/>
        </a:p>
      </dgm:t>
    </dgm:pt>
    <dgm:pt modelId="{07B47A71-AFDE-4202-8412-375412A04AAC}" type="sibTrans" cxnId="{EFD59889-9A1E-458F-A045-A284636C6346}">
      <dgm:prSet/>
      <dgm:spPr/>
      <dgm:t>
        <a:bodyPr/>
        <a:lstStyle/>
        <a:p>
          <a:endParaRPr lang="es-AR"/>
        </a:p>
      </dgm:t>
    </dgm:pt>
    <dgm:pt modelId="{FD4FB6D2-4C0B-493A-B1DF-3D683DA1907A}">
      <dgm:prSet phldrT="[Texto]"/>
      <dgm:spPr>
        <a:solidFill>
          <a:schemeClr val="accent5">
            <a:lumMod val="60000"/>
            <a:lumOff val="40000"/>
          </a:schemeClr>
        </a:solidFill>
      </dgm:spPr>
      <dgm:t>
        <a:bodyPr/>
        <a:lstStyle/>
        <a:p>
          <a:r>
            <a:rPr lang="es-AR"/>
            <a:t>BASE DE DATOS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5EF7B256-345E-45D6-A3D8-30F9D45D80B2}" type="parTrans" cxnId="{EEDC1042-5BD6-4226-A32A-9F78017CA83C}">
      <dgm:prSet/>
      <dgm:spPr/>
      <dgm:t>
        <a:bodyPr/>
        <a:lstStyle/>
        <a:p>
          <a:endParaRPr lang="es-AR"/>
        </a:p>
      </dgm:t>
    </dgm:pt>
    <dgm:pt modelId="{A7A2082B-A5AE-40DF-8E81-64EE8A0D9B4B}" type="sibTrans" cxnId="{EEDC1042-5BD6-4226-A32A-9F78017CA83C}">
      <dgm:prSet/>
      <dgm:spPr/>
      <dgm:t>
        <a:bodyPr/>
        <a:lstStyle/>
        <a:p>
          <a:endParaRPr lang="es-AR"/>
        </a:p>
      </dgm:t>
    </dgm:pt>
    <dgm:pt modelId="{A5FA57F3-6BF5-465C-A353-54B80C575C34}">
      <dgm:prSet phldrT="[Texto]"/>
      <dgm:spPr>
        <a:solidFill>
          <a:schemeClr val="accent5">
            <a:lumMod val="60000"/>
            <a:lumOff val="40000"/>
          </a:schemeClr>
        </a:solidFill>
      </dgm:spPr>
      <dgm:t>
        <a:bodyPr/>
        <a:lstStyle/>
        <a:p>
          <a:r>
            <a:rPr lang="es-AR"/>
            <a:t>COOPERADORA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0C887B7D-1FCE-4381-9EAC-E7B9EB25E1B8}" type="parTrans" cxnId="{97089DD0-197D-4971-A511-04A351CE8197}">
      <dgm:prSet/>
      <dgm:spPr/>
      <dgm:t>
        <a:bodyPr/>
        <a:lstStyle/>
        <a:p>
          <a:endParaRPr lang="es-AR"/>
        </a:p>
      </dgm:t>
    </dgm:pt>
    <dgm:pt modelId="{9BD7E825-566F-40F1-A810-81733F7FBF12}" type="sibTrans" cxnId="{97089DD0-197D-4971-A511-04A351CE8197}">
      <dgm:prSet/>
      <dgm:spPr/>
      <dgm:t>
        <a:bodyPr/>
        <a:lstStyle/>
        <a:p>
          <a:endParaRPr lang="es-AR"/>
        </a:p>
      </dgm:t>
    </dgm:pt>
    <dgm:pt modelId="{3019A6BD-3696-4770-8BDB-3DE833D289B7}">
      <dgm:prSet phldrT="[Texto]"/>
      <dgm:spPr>
        <a:solidFill>
          <a:schemeClr val="accent5">
            <a:lumMod val="60000"/>
            <a:lumOff val="40000"/>
          </a:schemeClr>
        </a:solidFill>
      </dgm:spPr>
      <dgm:t>
        <a:bodyPr/>
        <a:lstStyle/>
        <a:p>
          <a:r>
            <a:rPr lang="es-AR"/>
            <a:t>CERTIFICADOS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EE106905-B35F-401F-A4EE-6F534788BA1D}" type="parTrans" cxnId="{89705D52-2EA9-4749-9D50-7DB057281167}">
      <dgm:prSet/>
      <dgm:spPr/>
      <dgm:t>
        <a:bodyPr/>
        <a:lstStyle/>
        <a:p>
          <a:endParaRPr lang="es-AR"/>
        </a:p>
      </dgm:t>
    </dgm:pt>
    <dgm:pt modelId="{A781DE8E-AB16-4CC0-BAE0-2423594F9D32}" type="sibTrans" cxnId="{89705D52-2EA9-4749-9D50-7DB057281167}">
      <dgm:prSet/>
      <dgm:spPr/>
      <dgm:t>
        <a:bodyPr/>
        <a:lstStyle/>
        <a:p>
          <a:endParaRPr lang="es-AR"/>
        </a:p>
      </dgm:t>
    </dgm:pt>
    <dgm:pt modelId="{441C9C67-A4B1-4B2D-B029-FA3B68E2CF19}">
      <dgm:prSet phldrT="[Texto]"/>
      <dgm:spPr>
        <a:solidFill>
          <a:schemeClr val="accent5">
            <a:lumMod val="60000"/>
            <a:lumOff val="40000"/>
          </a:schemeClr>
        </a:solidFill>
      </dgm:spPr>
      <dgm:t>
        <a:bodyPr/>
        <a:lstStyle/>
        <a:p>
          <a:r>
            <a:rPr lang="es-AR"/>
            <a:t>TECNICATURAS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8AABBE21-8912-4EEA-A533-B93CA5B4F99C}" type="parTrans" cxnId="{E531796F-7E4C-46CF-B444-888B2CC7C79C}">
      <dgm:prSet/>
      <dgm:spPr/>
      <dgm:t>
        <a:bodyPr/>
        <a:lstStyle/>
        <a:p>
          <a:endParaRPr lang="es-AR"/>
        </a:p>
      </dgm:t>
    </dgm:pt>
    <dgm:pt modelId="{B8516DBF-18FF-401E-8007-B234A9351BBC}" type="sibTrans" cxnId="{E531796F-7E4C-46CF-B444-888B2CC7C79C}">
      <dgm:prSet/>
      <dgm:spPr/>
      <dgm:t>
        <a:bodyPr/>
        <a:lstStyle/>
        <a:p>
          <a:endParaRPr lang="es-AR"/>
        </a:p>
      </dgm:t>
    </dgm:pt>
    <dgm:pt modelId="{8D9950DA-D329-47F2-9D69-E11353DD774D}" type="pres">
      <dgm:prSet presAssocID="{0FC678C7-1425-4622-A8D8-0AF8E5CE4A8B}" presName="linearFlow" presStyleCnt="0">
        <dgm:presLayoutVars>
          <dgm:dir/>
          <dgm:resizeHandles val="exact"/>
        </dgm:presLayoutVars>
      </dgm:prSet>
      <dgm:spPr/>
    </dgm:pt>
    <dgm:pt modelId="{F3497DC4-A45B-4B54-AB1B-04FCC94DDDEE}" type="pres">
      <dgm:prSet presAssocID="{90A2DFBC-905A-4623-B805-EEE1F95C30DA}" presName="composite" presStyleCnt="0"/>
      <dgm:spPr/>
    </dgm:pt>
    <dgm:pt modelId="{D7C8C560-4218-4020-A10B-A88889D23CDB}" type="pres">
      <dgm:prSet presAssocID="{90A2DFBC-905A-4623-B805-EEE1F95C30DA}" presName="imgShp" presStyleLbl="fgImgPlace1" presStyleIdx="0" presStyleCnt="5"/>
      <dgm:spPr>
        <a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/>
          </a:stretch>
        </a:blipFill>
      </dgm:spPr>
      <dgm:extLst>
        <a:ext uri="{E40237B7-FDA0-4F09-8148-C483321AD2D9}">
          <dgm14:cNvPr xmlns:dgm14="http://schemas.microsoft.com/office/drawing/2010/diagram" id="0" name="" descr="Huellas de patas">
            <a:hlinkClick xmlns:r="http://schemas.openxmlformats.org/officeDocument/2006/relationships" r:id="rId1"/>
          </dgm14:cNvPr>
        </a:ext>
      </dgm:extLst>
    </dgm:pt>
    <dgm:pt modelId="{8E27C07F-6708-4AE2-8D73-96BB64E68A4E}" type="pres">
      <dgm:prSet presAssocID="{90A2DFBC-905A-4623-B805-EEE1F95C30DA}" presName="txShp" presStyleLbl="node1" presStyleIdx="0" presStyleCnt="5">
        <dgm:presLayoutVars>
          <dgm:bulletEnabled val="1"/>
        </dgm:presLayoutVars>
      </dgm:prSet>
      <dgm:spPr/>
    </dgm:pt>
    <dgm:pt modelId="{ED3691B6-C27F-487F-B742-DCDEA1253B65}" type="pres">
      <dgm:prSet presAssocID="{07B47A71-AFDE-4202-8412-375412A04AAC}" presName="spacing" presStyleCnt="0"/>
      <dgm:spPr/>
    </dgm:pt>
    <dgm:pt modelId="{BCC1C480-FDA9-4240-B197-1DAAF4B42983}" type="pres">
      <dgm:prSet presAssocID="{441C9C67-A4B1-4B2D-B029-FA3B68E2CF19}" presName="composite" presStyleCnt="0"/>
      <dgm:spPr/>
    </dgm:pt>
    <dgm:pt modelId="{7351D501-0919-4DF6-8F92-5569864316DC}" type="pres">
      <dgm:prSet presAssocID="{441C9C67-A4B1-4B2D-B029-FA3B68E2CF19}" presName="imgShp" presStyleLbl="fgImgPlace1" presStyleIdx="1" presStyleCnt="5"/>
      <dgm:spPr>
        <a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>
            <a:fillRect/>
          </a:stretch>
        </a:blipFill>
      </dgm:spPr>
      <dgm:extLst>
        <a:ext uri="{E40237B7-FDA0-4F09-8148-C483321AD2D9}">
          <dgm14:cNvPr xmlns:dgm14="http://schemas.microsoft.com/office/drawing/2010/diagram" id="0" name="" descr="Aula">
            <a:hlinkClick xmlns:r="http://schemas.openxmlformats.org/officeDocument/2006/relationships" r:id="rId5"/>
          </dgm14:cNvPr>
        </a:ext>
      </dgm:extLst>
    </dgm:pt>
    <dgm:pt modelId="{4A124386-8790-462C-AF9E-14056142F685}" type="pres">
      <dgm:prSet presAssocID="{441C9C67-A4B1-4B2D-B029-FA3B68E2CF19}" presName="txShp" presStyleLbl="node1" presStyleIdx="1" presStyleCnt="5">
        <dgm:presLayoutVars>
          <dgm:bulletEnabled val="1"/>
        </dgm:presLayoutVars>
      </dgm:prSet>
      <dgm:spPr/>
    </dgm:pt>
    <dgm:pt modelId="{F4870FA8-2E50-4523-B806-4628DBFE1803}" type="pres">
      <dgm:prSet presAssocID="{B8516DBF-18FF-401E-8007-B234A9351BBC}" presName="spacing" presStyleCnt="0"/>
      <dgm:spPr/>
    </dgm:pt>
    <dgm:pt modelId="{E9F5EBBF-3372-4441-A133-67AEC9114753}" type="pres">
      <dgm:prSet presAssocID="{3019A6BD-3696-4770-8BDB-3DE833D289B7}" presName="composite" presStyleCnt="0"/>
      <dgm:spPr/>
    </dgm:pt>
    <dgm:pt modelId="{DA7C5201-AE95-471E-9425-F379C2A3EE75}" type="pres">
      <dgm:prSet presAssocID="{3019A6BD-3696-4770-8BDB-3DE833D289B7}" presName="imgShp" presStyleLbl="fgImgPlace1" presStyleIdx="2" presStyleCnt="5"/>
      <dgm:spPr>
        <a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>
            <a:fillRect/>
          </a:stretch>
        </a:blipFill>
      </dgm:spPr>
      <dgm:extLst>
        <a:ext uri="{E40237B7-FDA0-4F09-8148-C483321AD2D9}">
          <dgm14:cNvPr xmlns:dgm14="http://schemas.microsoft.com/office/drawing/2010/diagram" id="0" name="" descr="Diploma">
            <a:hlinkClick xmlns:r="http://schemas.openxmlformats.org/officeDocument/2006/relationships" r:id="rId4"/>
          </dgm14:cNvPr>
        </a:ext>
      </dgm:extLst>
    </dgm:pt>
    <dgm:pt modelId="{5F0C3D76-E6BE-401E-A125-1CDE2B196001}" type="pres">
      <dgm:prSet presAssocID="{3019A6BD-3696-4770-8BDB-3DE833D289B7}" presName="txShp" presStyleLbl="node1" presStyleIdx="2" presStyleCnt="5">
        <dgm:presLayoutVars>
          <dgm:bulletEnabled val="1"/>
        </dgm:presLayoutVars>
      </dgm:prSet>
      <dgm:spPr/>
    </dgm:pt>
    <dgm:pt modelId="{C33C447D-1C07-4DE6-85F8-E55B6DEB0B07}" type="pres">
      <dgm:prSet presAssocID="{A781DE8E-AB16-4CC0-BAE0-2423594F9D32}" presName="spacing" presStyleCnt="0"/>
      <dgm:spPr/>
    </dgm:pt>
    <dgm:pt modelId="{769B6959-FF2E-4218-A026-C84319274173}" type="pres">
      <dgm:prSet presAssocID="{FD4FB6D2-4C0B-493A-B1DF-3D683DA1907A}" presName="composite" presStyleCnt="0"/>
      <dgm:spPr/>
    </dgm:pt>
    <dgm:pt modelId="{2F1CD59C-25D2-4D59-A69D-7CCF3B6CE922}" type="pres">
      <dgm:prSet presAssocID="{FD4FB6D2-4C0B-493A-B1DF-3D683DA1907A}" presName="imgShp" presStyleLbl="fgImgPlace1" presStyleIdx="3" presStyleCnt="5"/>
      <dgm:spPr>
        <a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/>
          <a:stretch>
            <a:fillRect/>
          </a:stretch>
        </a:blipFill>
      </dgm:spPr>
      <dgm:extLst>
        <a:ext uri="{E40237B7-FDA0-4F09-8148-C483321AD2D9}">
          <dgm14:cNvPr xmlns:dgm14="http://schemas.microsoft.com/office/drawing/2010/diagram" id="0" name="" descr="Lista de comprobación">
            <a:hlinkClick xmlns:r="http://schemas.openxmlformats.org/officeDocument/2006/relationships" r:id="rId14"/>
          </dgm14:cNvPr>
        </a:ext>
      </dgm:extLst>
    </dgm:pt>
    <dgm:pt modelId="{B30ED90C-A09F-4E00-A22C-001507209496}" type="pres">
      <dgm:prSet presAssocID="{FD4FB6D2-4C0B-493A-B1DF-3D683DA1907A}" presName="txShp" presStyleLbl="node1" presStyleIdx="3" presStyleCnt="5">
        <dgm:presLayoutVars>
          <dgm:bulletEnabled val="1"/>
        </dgm:presLayoutVars>
      </dgm:prSet>
      <dgm:spPr/>
    </dgm:pt>
    <dgm:pt modelId="{C68DE52C-F6EB-41C9-B7AC-ACECA292A443}" type="pres">
      <dgm:prSet presAssocID="{A7A2082B-A5AE-40DF-8E81-64EE8A0D9B4B}" presName="spacing" presStyleCnt="0"/>
      <dgm:spPr/>
    </dgm:pt>
    <dgm:pt modelId="{F3A90E0C-4099-4B5E-8E21-2C6D2EC6DBBC}" type="pres">
      <dgm:prSet presAssocID="{A5FA57F3-6BF5-465C-A353-54B80C575C34}" presName="composite" presStyleCnt="0"/>
      <dgm:spPr/>
    </dgm:pt>
    <dgm:pt modelId="{EFE09045-03DD-407D-99BA-1EC6F881858C}" type="pres">
      <dgm:prSet presAssocID="{A5FA57F3-6BF5-465C-A353-54B80C575C34}" presName="imgShp" presStyleLbl="fgImgPlace1" presStyleIdx="4" presStyleCnt="5"/>
      <dgm:spPr>
        <a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rcRect/>
          <a:stretch>
            <a:fillRect/>
          </a:stretch>
        </a:blipFill>
      </dgm:spPr>
      <dgm:extLst>
        <a:ext uri="{E40237B7-FDA0-4F09-8148-C483321AD2D9}">
          <dgm14:cNvPr xmlns:dgm14="http://schemas.microsoft.com/office/drawing/2010/diagram" id="0" name="" descr="Dólar">
            <a:hlinkClick xmlns:r="http://schemas.openxmlformats.org/officeDocument/2006/relationships" r:id="rId3"/>
          </dgm14:cNvPr>
        </a:ext>
      </dgm:extLst>
    </dgm:pt>
    <dgm:pt modelId="{37AFB2FC-2B77-4A3D-A935-B68EEC4329E7}" type="pres">
      <dgm:prSet presAssocID="{A5FA57F3-6BF5-465C-A353-54B80C575C34}" presName="txShp" presStyleLbl="node1" presStyleIdx="4" presStyleCnt="5">
        <dgm:presLayoutVars>
          <dgm:bulletEnabled val="1"/>
        </dgm:presLayoutVars>
      </dgm:prSet>
      <dgm:spPr/>
    </dgm:pt>
  </dgm:ptLst>
  <dgm:cxnLst>
    <dgm:cxn modelId="{EEDC1042-5BD6-4226-A32A-9F78017CA83C}" srcId="{0FC678C7-1425-4622-A8D8-0AF8E5CE4A8B}" destId="{FD4FB6D2-4C0B-493A-B1DF-3D683DA1907A}" srcOrd="3" destOrd="0" parTransId="{5EF7B256-345E-45D6-A3D8-30F9D45D80B2}" sibTransId="{A7A2082B-A5AE-40DF-8E81-64EE8A0D9B4B}"/>
    <dgm:cxn modelId="{E531796F-7E4C-46CF-B444-888B2CC7C79C}" srcId="{0FC678C7-1425-4622-A8D8-0AF8E5CE4A8B}" destId="{441C9C67-A4B1-4B2D-B029-FA3B68E2CF19}" srcOrd="1" destOrd="0" parTransId="{8AABBE21-8912-4EEA-A533-B93CA5B4F99C}" sibTransId="{B8516DBF-18FF-401E-8007-B234A9351BBC}"/>
    <dgm:cxn modelId="{89705D52-2EA9-4749-9D50-7DB057281167}" srcId="{0FC678C7-1425-4622-A8D8-0AF8E5CE4A8B}" destId="{3019A6BD-3696-4770-8BDB-3DE833D289B7}" srcOrd="2" destOrd="0" parTransId="{EE106905-B35F-401F-A4EE-6F534788BA1D}" sibTransId="{A781DE8E-AB16-4CC0-BAE0-2423594F9D32}"/>
    <dgm:cxn modelId="{EFD59889-9A1E-458F-A045-A284636C6346}" srcId="{0FC678C7-1425-4622-A8D8-0AF8E5CE4A8B}" destId="{90A2DFBC-905A-4623-B805-EEE1F95C30DA}" srcOrd="0" destOrd="0" parTransId="{2ED73DB2-1661-4151-8564-5D48E5AACC6F}" sibTransId="{07B47A71-AFDE-4202-8412-375412A04AAC}"/>
    <dgm:cxn modelId="{97089DD0-197D-4971-A511-04A351CE8197}" srcId="{0FC678C7-1425-4622-A8D8-0AF8E5CE4A8B}" destId="{A5FA57F3-6BF5-465C-A353-54B80C575C34}" srcOrd="4" destOrd="0" parTransId="{0C887B7D-1FCE-4381-9EAC-E7B9EB25E1B8}" sibTransId="{9BD7E825-566F-40F1-A810-81733F7FBF12}"/>
    <dgm:cxn modelId="{697605D9-11AD-48AA-AA53-ACF10CDF1C6D}" type="presOf" srcId="{0FC678C7-1425-4622-A8D8-0AF8E5CE4A8B}" destId="{8D9950DA-D329-47F2-9D69-E11353DD774D}" srcOrd="0" destOrd="0" presId="urn:microsoft.com/office/officeart/2005/8/layout/vList3"/>
    <dgm:cxn modelId="{C1400CE2-06A4-4AB5-B1A4-2082D8817E6B}" type="presOf" srcId="{3019A6BD-3696-4770-8BDB-3DE833D289B7}" destId="{5F0C3D76-E6BE-401E-A125-1CDE2B196001}" srcOrd="0" destOrd="0" presId="urn:microsoft.com/office/officeart/2005/8/layout/vList3"/>
    <dgm:cxn modelId="{C714DCEE-F337-4BB0-9E07-339151A41DC2}" type="presOf" srcId="{FD4FB6D2-4C0B-493A-B1DF-3D683DA1907A}" destId="{B30ED90C-A09F-4E00-A22C-001507209496}" srcOrd="0" destOrd="0" presId="urn:microsoft.com/office/officeart/2005/8/layout/vList3"/>
    <dgm:cxn modelId="{726D07F4-2915-4BC1-B0D0-84008F1042F7}" type="presOf" srcId="{90A2DFBC-905A-4623-B805-EEE1F95C30DA}" destId="{8E27C07F-6708-4AE2-8D73-96BB64E68A4E}" srcOrd="0" destOrd="0" presId="urn:microsoft.com/office/officeart/2005/8/layout/vList3"/>
    <dgm:cxn modelId="{31BCB0FE-590D-4704-874D-E772EE24F024}" type="presOf" srcId="{441C9C67-A4B1-4B2D-B029-FA3B68E2CF19}" destId="{4A124386-8790-462C-AF9E-14056142F685}" srcOrd="0" destOrd="0" presId="urn:microsoft.com/office/officeart/2005/8/layout/vList3"/>
    <dgm:cxn modelId="{E7AE44FF-5AE0-45EB-9F53-A0A6FAED954C}" type="presOf" srcId="{A5FA57F3-6BF5-465C-A353-54B80C575C34}" destId="{37AFB2FC-2B77-4A3D-A935-B68EEC4329E7}" srcOrd="0" destOrd="0" presId="urn:microsoft.com/office/officeart/2005/8/layout/vList3"/>
    <dgm:cxn modelId="{C4DE51C9-D27D-4750-8CF0-434B577A8397}" type="presParOf" srcId="{8D9950DA-D329-47F2-9D69-E11353DD774D}" destId="{F3497DC4-A45B-4B54-AB1B-04FCC94DDDEE}" srcOrd="0" destOrd="0" presId="urn:microsoft.com/office/officeart/2005/8/layout/vList3"/>
    <dgm:cxn modelId="{6EA48E82-F796-446E-BD7A-96CCE5C78422}" type="presParOf" srcId="{F3497DC4-A45B-4B54-AB1B-04FCC94DDDEE}" destId="{D7C8C560-4218-4020-A10B-A88889D23CDB}" srcOrd="0" destOrd="0" presId="urn:microsoft.com/office/officeart/2005/8/layout/vList3"/>
    <dgm:cxn modelId="{2B60C740-21F3-4F9B-8660-F732927DC984}" type="presParOf" srcId="{F3497DC4-A45B-4B54-AB1B-04FCC94DDDEE}" destId="{8E27C07F-6708-4AE2-8D73-96BB64E68A4E}" srcOrd="1" destOrd="0" presId="urn:microsoft.com/office/officeart/2005/8/layout/vList3"/>
    <dgm:cxn modelId="{CB769D91-E2B3-47F9-A9A8-A8761D26C30F}" type="presParOf" srcId="{8D9950DA-D329-47F2-9D69-E11353DD774D}" destId="{ED3691B6-C27F-487F-B742-DCDEA1253B65}" srcOrd="1" destOrd="0" presId="urn:microsoft.com/office/officeart/2005/8/layout/vList3"/>
    <dgm:cxn modelId="{1353C1CE-8C74-4953-8EBF-B085B5A34B9C}" type="presParOf" srcId="{8D9950DA-D329-47F2-9D69-E11353DD774D}" destId="{BCC1C480-FDA9-4240-B197-1DAAF4B42983}" srcOrd="2" destOrd="0" presId="urn:microsoft.com/office/officeart/2005/8/layout/vList3"/>
    <dgm:cxn modelId="{0EA1BB5B-E5E3-4CAE-800E-76E9D815A5DF}" type="presParOf" srcId="{BCC1C480-FDA9-4240-B197-1DAAF4B42983}" destId="{7351D501-0919-4DF6-8F92-5569864316DC}" srcOrd="0" destOrd="0" presId="urn:microsoft.com/office/officeart/2005/8/layout/vList3"/>
    <dgm:cxn modelId="{7C69B1B5-ADF5-40FF-9F98-DEE0A20D794E}" type="presParOf" srcId="{BCC1C480-FDA9-4240-B197-1DAAF4B42983}" destId="{4A124386-8790-462C-AF9E-14056142F685}" srcOrd="1" destOrd="0" presId="urn:microsoft.com/office/officeart/2005/8/layout/vList3"/>
    <dgm:cxn modelId="{810B20B9-F1EE-42D3-99C8-78871E82A2D3}" type="presParOf" srcId="{8D9950DA-D329-47F2-9D69-E11353DD774D}" destId="{F4870FA8-2E50-4523-B806-4628DBFE1803}" srcOrd="3" destOrd="0" presId="urn:microsoft.com/office/officeart/2005/8/layout/vList3"/>
    <dgm:cxn modelId="{061A81DA-F476-4BCB-B96E-CE0FCAE0280A}" type="presParOf" srcId="{8D9950DA-D329-47F2-9D69-E11353DD774D}" destId="{E9F5EBBF-3372-4441-A133-67AEC9114753}" srcOrd="4" destOrd="0" presId="urn:microsoft.com/office/officeart/2005/8/layout/vList3"/>
    <dgm:cxn modelId="{84CB820C-B4D6-4E37-AC40-C7B6361FF4A3}" type="presParOf" srcId="{E9F5EBBF-3372-4441-A133-67AEC9114753}" destId="{DA7C5201-AE95-471E-9425-F379C2A3EE75}" srcOrd="0" destOrd="0" presId="urn:microsoft.com/office/officeart/2005/8/layout/vList3"/>
    <dgm:cxn modelId="{A04900FB-915A-4E2E-985D-0C37BFD02BCA}" type="presParOf" srcId="{E9F5EBBF-3372-4441-A133-67AEC9114753}" destId="{5F0C3D76-E6BE-401E-A125-1CDE2B196001}" srcOrd="1" destOrd="0" presId="urn:microsoft.com/office/officeart/2005/8/layout/vList3"/>
    <dgm:cxn modelId="{0A42DB20-DB44-44DD-86F4-88D0F2772221}" type="presParOf" srcId="{8D9950DA-D329-47F2-9D69-E11353DD774D}" destId="{C33C447D-1C07-4DE6-85F8-E55B6DEB0B07}" srcOrd="5" destOrd="0" presId="urn:microsoft.com/office/officeart/2005/8/layout/vList3"/>
    <dgm:cxn modelId="{EA0BCBC4-5A1D-437E-AB82-6902DF189141}" type="presParOf" srcId="{8D9950DA-D329-47F2-9D69-E11353DD774D}" destId="{769B6959-FF2E-4218-A026-C84319274173}" srcOrd="6" destOrd="0" presId="urn:microsoft.com/office/officeart/2005/8/layout/vList3"/>
    <dgm:cxn modelId="{B4474087-2D6D-4ADC-9A46-207DA3C70D08}" type="presParOf" srcId="{769B6959-FF2E-4218-A026-C84319274173}" destId="{2F1CD59C-25D2-4D59-A69D-7CCF3B6CE922}" srcOrd="0" destOrd="0" presId="urn:microsoft.com/office/officeart/2005/8/layout/vList3"/>
    <dgm:cxn modelId="{36283B19-4ECE-45BA-8359-2CE93348EEB9}" type="presParOf" srcId="{769B6959-FF2E-4218-A026-C84319274173}" destId="{B30ED90C-A09F-4E00-A22C-001507209496}" srcOrd="1" destOrd="0" presId="urn:microsoft.com/office/officeart/2005/8/layout/vList3"/>
    <dgm:cxn modelId="{49DCB883-917D-4F21-A3EF-B4D4EAAFA1A9}" type="presParOf" srcId="{8D9950DA-D329-47F2-9D69-E11353DD774D}" destId="{C68DE52C-F6EB-41C9-B7AC-ACECA292A443}" srcOrd="7" destOrd="0" presId="urn:microsoft.com/office/officeart/2005/8/layout/vList3"/>
    <dgm:cxn modelId="{0CF6DD79-822F-40E6-A6D0-C83639BC91C8}" type="presParOf" srcId="{8D9950DA-D329-47F2-9D69-E11353DD774D}" destId="{F3A90E0C-4099-4B5E-8E21-2C6D2EC6DBBC}" srcOrd="8" destOrd="0" presId="urn:microsoft.com/office/officeart/2005/8/layout/vList3"/>
    <dgm:cxn modelId="{59EF48D8-3930-4858-A397-CF0CF4FB4C71}" type="presParOf" srcId="{F3A90E0C-4099-4B5E-8E21-2C6D2EC6DBBC}" destId="{EFE09045-03DD-407D-99BA-1EC6F881858C}" srcOrd="0" destOrd="0" presId="urn:microsoft.com/office/officeart/2005/8/layout/vList3"/>
    <dgm:cxn modelId="{C421CD9F-9552-49B3-81B7-8536DA9A2003}" type="presParOf" srcId="{F3A90E0C-4099-4B5E-8E21-2C6D2EC6DBBC}" destId="{37AFB2FC-2B77-4A3D-A935-B68EEC4329E7}" srcOrd="1" destOrd="0" presId="urn:microsoft.com/office/officeart/2005/8/layout/vList3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E27C07F-6708-4AE2-8D73-96BB64E68A4E}">
      <dsp:nvSpPr>
        <dsp:cNvPr id="0" name=""/>
        <dsp:cNvSpPr/>
      </dsp:nvSpPr>
      <dsp:spPr>
        <a:xfrm rot="10800000">
          <a:off x="548542" y="850"/>
          <a:ext cx="1774821" cy="406004"/>
        </a:xfrm>
        <a:prstGeom prst="homePlate">
          <a:avLst/>
        </a:prstGeom>
        <a:solidFill>
          <a:schemeClr val="tx1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9037" tIns="49530" rIns="92456" bIns="4953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300" kern="1200"/>
            <a:t>INICIO</a:t>
          </a:r>
        </a:p>
      </dsp:txBody>
      <dsp:txXfrm rot="10800000">
        <a:off x="650043" y="850"/>
        <a:ext cx="1673320" cy="406004"/>
      </dsp:txXfrm>
    </dsp:sp>
    <dsp:sp modelId="{D7C8C560-4218-4020-A10B-A88889D23CDB}">
      <dsp:nvSpPr>
        <dsp:cNvPr id="0" name=""/>
        <dsp:cNvSpPr/>
      </dsp:nvSpPr>
      <dsp:spPr>
        <a:xfrm>
          <a:off x="345540" y="850"/>
          <a:ext cx="406004" cy="406004"/>
        </a:xfrm>
        <a:prstGeom prst="ellipse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A124386-8790-462C-AF9E-14056142F685}">
      <dsp:nvSpPr>
        <dsp:cNvPr id="0" name=""/>
        <dsp:cNvSpPr/>
      </dsp:nvSpPr>
      <dsp:spPr>
        <a:xfrm rot="10800000">
          <a:off x="548542" y="528050"/>
          <a:ext cx="1774821" cy="406004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9037" tIns="49530" rIns="92456" bIns="4953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300" kern="1200"/>
            <a:t>TECNICATURAS</a:t>
          </a:r>
        </a:p>
      </dsp:txBody>
      <dsp:txXfrm rot="10800000">
        <a:off x="650043" y="528050"/>
        <a:ext cx="1673320" cy="406004"/>
      </dsp:txXfrm>
    </dsp:sp>
    <dsp:sp modelId="{7351D501-0919-4DF6-8F92-5569864316DC}">
      <dsp:nvSpPr>
        <dsp:cNvPr id="0" name=""/>
        <dsp:cNvSpPr/>
      </dsp:nvSpPr>
      <dsp:spPr>
        <a:xfrm>
          <a:off x="345540" y="528050"/>
          <a:ext cx="406004" cy="406004"/>
        </a:xfrm>
        <a:prstGeom prst="ellipse">
          <a:avLst/>
        </a:prstGeom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F0C3D76-E6BE-401E-A125-1CDE2B196001}">
      <dsp:nvSpPr>
        <dsp:cNvPr id="0" name=""/>
        <dsp:cNvSpPr/>
      </dsp:nvSpPr>
      <dsp:spPr>
        <a:xfrm rot="10800000">
          <a:off x="548542" y="1055250"/>
          <a:ext cx="1774821" cy="406004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9037" tIns="49530" rIns="92456" bIns="4953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300" kern="1200"/>
            <a:t>CERTIFICADOS</a:t>
          </a:r>
        </a:p>
      </dsp:txBody>
      <dsp:txXfrm rot="10800000">
        <a:off x="650043" y="1055250"/>
        <a:ext cx="1673320" cy="406004"/>
      </dsp:txXfrm>
    </dsp:sp>
    <dsp:sp modelId="{DA7C5201-AE95-471E-9425-F379C2A3EE75}">
      <dsp:nvSpPr>
        <dsp:cNvPr id="0" name=""/>
        <dsp:cNvSpPr/>
      </dsp:nvSpPr>
      <dsp:spPr>
        <a:xfrm>
          <a:off x="345540" y="1055250"/>
          <a:ext cx="406004" cy="406004"/>
        </a:xfrm>
        <a:prstGeom prst="ellipse">
          <a:avLst/>
        </a:prstGeom>
        <a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30ED90C-A09F-4E00-A22C-001507209496}">
      <dsp:nvSpPr>
        <dsp:cNvPr id="0" name=""/>
        <dsp:cNvSpPr/>
      </dsp:nvSpPr>
      <dsp:spPr>
        <a:xfrm rot="10800000">
          <a:off x="548542" y="1582450"/>
          <a:ext cx="1774821" cy="406004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9037" tIns="49530" rIns="92456" bIns="4953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300" kern="1200"/>
            <a:t>BASE DE DATOS</a:t>
          </a:r>
        </a:p>
      </dsp:txBody>
      <dsp:txXfrm rot="10800000">
        <a:off x="650043" y="1582450"/>
        <a:ext cx="1673320" cy="406004"/>
      </dsp:txXfrm>
    </dsp:sp>
    <dsp:sp modelId="{2F1CD59C-25D2-4D59-A69D-7CCF3B6CE922}">
      <dsp:nvSpPr>
        <dsp:cNvPr id="0" name=""/>
        <dsp:cNvSpPr/>
      </dsp:nvSpPr>
      <dsp:spPr>
        <a:xfrm>
          <a:off x="345540" y="1582450"/>
          <a:ext cx="406004" cy="406004"/>
        </a:xfrm>
        <a:prstGeom prst="ellipse">
          <a:avLst/>
        </a:prstGeom>
        <a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7AFB2FC-2B77-4A3D-A935-B68EEC4329E7}">
      <dsp:nvSpPr>
        <dsp:cNvPr id="0" name=""/>
        <dsp:cNvSpPr/>
      </dsp:nvSpPr>
      <dsp:spPr>
        <a:xfrm rot="10800000">
          <a:off x="548542" y="2109650"/>
          <a:ext cx="1774821" cy="406004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9037" tIns="49530" rIns="92456" bIns="4953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300" kern="1200"/>
            <a:t>COOPERADORA</a:t>
          </a:r>
        </a:p>
      </dsp:txBody>
      <dsp:txXfrm rot="10800000">
        <a:off x="650043" y="2109650"/>
        <a:ext cx="1673320" cy="406004"/>
      </dsp:txXfrm>
    </dsp:sp>
    <dsp:sp modelId="{EFE09045-03DD-407D-99BA-1EC6F881858C}">
      <dsp:nvSpPr>
        <dsp:cNvPr id="0" name=""/>
        <dsp:cNvSpPr/>
      </dsp:nvSpPr>
      <dsp:spPr>
        <a:xfrm>
          <a:off x="345540" y="2109650"/>
          <a:ext cx="406004" cy="406004"/>
        </a:xfrm>
        <a:prstGeom prst="ellipse">
          <a:avLst/>
        </a:prstGeom>
        <a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3">
  <dgm:title val=""/>
  <dgm:desc val=""/>
  <dgm:catLst>
    <dgm:cat type="list" pri="14000"/>
    <dgm:cat type="convert" pri="3000"/>
    <dgm:cat type="picture" pri="27000"/>
    <dgm:cat type="pictureconvert" pri="27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dir/>
      <dgm:resizeHandles val="exact"/>
    </dgm:varLst>
    <dgm:alg type="lin">
      <dgm:param type="linDir" val="fromT"/>
      <dgm:param type="vertAlign" val="mid"/>
      <dgm:param type="horzAlign" val="ctr"/>
    </dgm:alg>
    <dgm:shape xmlns:r="http://schemas.openxmlformats.org/officeDocument/2006/relationships" r:blip="">
      <dgm:adjLst/>
    </dgm:shape>
    <dgm:presOf/>
    <dgm:constrLst>
      <dgm:constr type="w" for="ch" forName="composite" refType="w"/>
      <dgm:constr type="h" for="ch" forName="composite" refType="h"/>
      <dgm:constr type="h" for="ch" forName="spacing" refType="h" refFor="ch" refForName="composite" fact="0.25"/>
      <dgm:constr type="h" for="ch" forName="spacing" refType="w" op="lte" fact="0.1"/>
      <dgm:constr type="primFontSz" for="des" ptType="node" op="equ" val="65"/>
    </dgm:constrLst>
    <dgm:ruleLst/>
    <dgm:forEach name="Name0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hoose name="Name1">
          <dgm:if name="Name2" func="var" arg="dir" op="equ" val="norm">
            <dgm:constrLst>
              <dgm:constr type="w" for="ch" forName="imgShp" refType="w" fact="0.335"/>
              <dgm:constr type="h" for="ch" forName="imgShp" refType="w" refFor="ch" refForName="imgShp" op="equ"/>
              <dgm:constr type="h" for="ch" forName="imgShp" refType="h" op="lte"/>
              <dgm:constr type="ctrY" for="ch" forName="imgShp" refType="h" fact="0.5"/>
              <dgm:constr type="l" for="ch" forName="imgShp"/>
              <dgm:constr type="w" for="ch" forName="txShp" refType="w" op="equ" fact="0.665"/>
              <dgm:constr type="h" for="ch" forName="txShp" refType="h" refFor="ch" refForName="imgShp" op="equ"/>
              <dgm:constr type="ctrY" for="ch" forName="txShp" refType="h" fact="0.5"/>
              <dgm:constr type="l" for="ch" forName="txShp" refType="w" refFor="ch" refForName="imgShp" fact="0.5"/>
              <dgm:constr type="lMarg" for="ch" forName="txShp" refType="w" refFor="ch" refForName="imgShp" fact="1.25"/>
            </dgm:constrLst>
          </dgm:if>
          <dgm:else name="Name3">
            <dgm:constrLst>
              <dgm:constr type="w" for="ch" forName="imgShp" refType="w" fact="0.335"/>
              <dgm:constr type="h" for="ch" forName="imgShp" refType="w" refFor="ch" refForName="imgShp" op="equ"/>
              <dgm:constr type="h" for="ch" forName="imgShp" refType="h" op="lte"/>
              <dgm:constr type="ctrY" for="ch" forName="imgShp" refType="h" fact="0.5"/>
              <dgm:constr type="r" for="ch" forName="imgShp" refType="w"/>
              <dgm:constr type="w" for="ch" forName="txShp" refType="w" op="equ" fact="0.665"/>
              <dgm:constr type="h" for="ch" forName="txShp" refType="h" refFor="ch" refForName="imgShp" op="equ"/>
              <dgm:constr type="ctrY" for="ch" forName="txShp" refType="h" fact="0.5"/>
              <dgm:constr type="r" for="ch" forName="txShp" refType="ctrX" refFor="ch" refForName="imgShp"/>
              <dgm:constr type="rMarg" for="ch" forName="txShp" refType="w" refFor="ch" refForName="imgShp" fact="1.25"/>
            </dgm:constrLst>
          </dgm:else>
        </dgm:choose>
        <dgm:ruleLst/>
        <dgm:layoutNode name="imgShp" styleLbl="fgImgPlace1">
          <dgm:alg type="sp"/>
          <dgm:shape xmlns:r="http://schemas.openxmlformats.org/officeDocument/2006/relationships" type="ellipse" r:blip="" blipPhldr="1">
            <dgm:adjLst/>
          </dgm:shape>
          <dgm:presOf/>
          <dgm:constrLst/>
          <dgm:ruleLst/>
        </dgm:layoutNode>
        <dgm:layoutNode name="txShp">
          <dgm:varLst>
            <dgm:bulletEnabled val="1"/>
          </dgm:varLst>
          <dgm:alg type="tx"/>
          <dgm:choose name="Name4">
            <dgm:if name="Name5" func="var" arg="dir" op="equ" val="norm">
              <dgm:shape xmlns:r="http://schemas.openxmlformats.org/officeDocument/2006/relationships" rot="180" type="homePlate" r:blip="" zOrderOff="-1">
                <dgm:adjLst/>
              </dgm:shape>
            </dgm:if>
            <dgm:else name="Name6">
              <dgm:shape xmlns:r="http://schemas.openxmlformats.org/officeDocument/2006/relationships" type="homePlate" r:blip="" zOrderOff="-1">
                <dgm:adjLst/>
              </dgm:shape>
            </dgm:else>
          </dgm:choose>
          <dgm:presOf axis="desOrSelf" ptType="node"/>
          <dgm:constrLst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layoutNode>
      <dgm:forEach name="Name7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1.xml"/><Relationship Id="rId3" Type="http://schemas.openxmlformats.org/officeDocument/2006/relationships/hyperlink" Target="#CERTIFICADOS!A1"/><Relationship Id="rId7" Type="http://schemas.openxmlformats.org/officeDocument/2006/relationships/hyperlink" Target="#INICIO!A1"/><Relationship Id="rId12" Type="http://schemas.microsoft.com/office/2007/relationships/diagramDrawing" Target="../diagrams/drawing1.xml"/><Relationship Id="rId2" Type="http://schemas.openxmlformats.org/officeDocument/2006/relationships/hyperlink" Target="#'BASE DE ESTUDIANTES'!A1"/><Relationship Id="rId1" Type="http://schemas.openxmlformats.org/officeDocument/2006/relationships/hyperlink" Target="#COOPERADORA!A1"/><Relationship Id="rId6" Type="http://schemas.openxmlformats.org/officeDocument/2006/relationships/image" Target="../media/image2.png"/><Relationship Id="rId11" Type="http://schemas.openxmlformats.org/officeDocument/2006/relationships/diagramColors" Target="../diagrams/colors1.xml"/><Relationship Id="rId5" Type="http://schemas.openxmlformats.org/officeDocument/2006/relationships/image" Target="../media/image1.jpeg"/><Relationship Id="rId10" Type="http://schemas.openxmlformats.org/officeDocument/2006/relationships/diagramQuickStyle" Target="../diagrams/quickStyle1.xml"/><Relationship Id="rId4" Type="http://schemas.openxmlformats.org/officeDocument/2006/relationships/hyperlink" Target="#TECNICATURAS!A1"/><Relationship Id="rId9" Type="http://schemas.openxmlformats.org/officeDocument/2006/relationships/diagramLayout" Target="../diagrams/layou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BASE DATOS'!A1"/><Relationship Id="rId2" Type="http://schemas.openxmlformats.org/officeDocument/2006/relationships/hyperlink" Target="#COOPERADORA!A1"/><Relationship Id="rId1" Type="http://schemas.openxmlformats.org/officeDocument/2006/relationships/hyperlink" Target="#INICIO!A1"/><Relationship Id="rId5" Type="http://schemas.openxmlformats.org/officeDocument/2006/relationships/hyperlink" Target="#TECNICATURAS!A1"/><Relationship Id="rId4" Type="http://schemas.openxmlformats.org/officeDocument/2006/relationships/hyperlink" Target="#CERTIFICAD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hyperlink" Target="#CERTIFICADOS!A1"/><Relationship Id="rId2" Type="http://schemas.openxmlformats.org/officeDocument/2006/relationships/image" Target="../media/image1.jpeg"/><Relationship Id="rId1" Type="http://schemas.openxmlformats.org/officeDocument/2006/relationships/hyperlink" Target="#TECNICATURAS!A1"/><Relationship Id="rId6" Type="http://schemas.openxmlformats.org/officeDocument/2006/relationships/hyperlink" Target="#'BASE DE ESTUDIANTES'!A1"/><Relationship Id="rId5" Type="http://schemas.openxmlformats.org/officeDocument/2006/relationships/hyperlink" Target="#COOPERADORA!A1"/><Relationship Id="rId4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TECNICATURAS!A1"/><Relationship Id="rId2" Type="http://schemas.openxmlformats.org/officeDocument/2006/relationships/hyperlink" Target="#CERTIFICADOS!A1"/><Relationship Id="rId1" Type="http://schemas.openxmlformats.org/officeDocument/2006/relationships/hyperlink" Target="#'BASE DE ESTUDIANTES'!A1"/><Relationship Id="rId5" Type="http://schemas.openxmlformats.org/officeDocument/2006/relationships/hyperlink" Target="#COOPERADORA!A1"/><Relationship Id="rId4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ERTIFICADOS!A1"/><Relationship Id="rId2" Type="http://schemas.openxmlformats.org/officeDocument/2006/relationships/hyperlink" Target="#TECNICATURAS!A1"/><Relationship Id="rId1" Type="http://schemas.openxmlformats.org/officeDocument/2006/relationships/hyperlink" Target="#COOPERADOR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121920</xdr:rowOff>
    </xdr:from>
    <xdr:to>
      <xdr:col>0</xdr:col>
      <xdr:colOff>373377</xdr:colOff>
      <xdr:row>23</xdr:row>
      <xdr:rowOff>224792</xdr:rowOff>
    </xdr:to>
    <xdr:sp macro="" textlink="">
      <xdr:nvSpPr>
        <xdr:cNvPr id="21" name="Trapecio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 rot="5400000">
          <a:off x="-360047" y="3789047"/>
          <a:ext cx="1093472" cy="373377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COOPERADORA</a:t>
          </a:r>
        </a:p>
      </xdr:txBody>
    </xdr:sp>
    <xdr:clientData/>
  </xdr:twoCellAnchor>
  <xdr:twoCellAnchor>
    <xdr:from>
      <xdr:col>0</xdr:col>
      <xdr:colOff>0</xdr:colOff>
      <xdr:row>15</xdr:row>
      <xdr:rowOff>22860</xdr:rowOff>
    </xdr:from>
    <xdr:to>
      <xdr:col>0</xdr:col>
      <xdr:colOff>365760</xdr:colOff>
      <xdr:row>20</xdr:row>
      <xdr:rowOff>12719</xdr:rowOff>
    </xdr:to>
    <xdr:sp macro="" textlink="">
      <xdr:nvSpPr>
        <xdr:cNvPr id="19" name="Trapeci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 rot="5400000">
          <a:off x="-345450" y="2837190"/>
          <a:ext cx="1056659" cy="36576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BASE DE DATOS</a:t>
          </a:r>
        </a:p>
      </xdr:txBody>
    </xdr:sp>
    <xdr:clientData/>
  </xdr:twoCellAnchor>
  <xdr:twoCellAnchor>
    <xdr:from>
      <xdr:col>0</xdr:col>
      <xdr:colOff>1</xdr:colOff>
      <xdr:row>9</xdr:row>
      <xdr:rowOff>45726</xdr:rowOff>
    </xdr:from>
    <xdr:to>
      <xdr:col>1</xdr:col>
      <xdr:colOff>1</xdr:colOff>
      <xdr:row>15</xdr:row>
      <xdr:rowOff>114300</xdr:rowOff>
    </xdr:to>
    <xdr:sp macro="" textlink="">
      <xdr:nvSpPr>
        <xdr:cNvPr id="17" name="Trapeci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 rot="5400000">
          <a:off x="-327656" y="1882143"/>
          <a:ext cx="1028694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CERTIFICADOS</a:t>
          </a:r>
        </a:p>
      </xdr:txBody>
    </xdr:sp>
    <xdr:clientData/>
  </xdr:twoCellAnchor>
  <xdr:twoCellAnchor>
    <xdr:from>
      <xdr:col>0</xdr:col>
      <xdr:colOff>0</xdr:colOff>
      <xdr:row>3</xdr:row>
      <xdr:rowOff>160020</xdr:rowOff>
    </xdr:from>
    <xdr:to>
      <xdr:col>1</xdr:col>
      <xdr:colOff>0</xdr:colOff>
      <xdr:row>9</xdr:row>
      <xdr:rowOff>152400</xdr:rowOff>
    </xdr:to>
    <xdr:sp macro="" textlink="">
      <xdr:nvSpPr>
        <xdr:cNvPr id="7" name="Trapeci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 rot="5400000">
          <a:off x="-312420" y="975360"/>
          <a:ext cx="998220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TECNICATURAS</a:t>
          </a:r>
        </a:p>
      </xdr:txBody>
    </xdr:sp>
    <xdr:clientData/>
  </xdr:twoCellAnchor>
  <xdr:oneCellAnchor>
    <xdr:from>
      <xdr:col>6</xdr:col>
      <xdr:colOff>426407</xdr:colOff>
      <xdr:row>4</xdr:row>
      <xdr:rowOff>123712</xdr:rowOff>
    </xdr:from>
    <xdr:ext cx="663254" cy="893116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087" y="794272"/>
          <a:ext cx="663254" cy="893116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oneCellAnchor>
  <xdr:oneCellAnchor>
    <xdr:from>
      <xdr:col>8</xdr:col>
      <xdr:colOff>273873</xdr:colOff>
      <xdr:row>3</xdr:row>
      <xdr:rowOff>83047</xdr:rowOff>
    </xdr:from>
    <xdr:ext cx="705970" cy="99732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5513" y="585967"/>
          <a:ext cx="705970" cy="997323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0</xdr:row>
      <xdr:rowOff>7620</xdr:rowOff>
    </xdr:from>
    <xdr:to>
      <xdr:col>0</xdr:col>
      <xdr:colOff>655318</xdr:colOff>
      <xdr:row>4</xdr:row>
      <xdr:rowOff>68580</xdr:rowOff>
    </xdr:to>
    <xdr:sp macro="" textlink="">
      <xdr:nvSpPr>
        <xdr:cNvPr id="6" name="Trapecio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 rot="5400000">
          <a:off x="-38101" y="45721"/>
          <a:ext cx="731520" cy="655318"/>
        </a:xfrm>
        <a:prstGeom prst="trapezoid">
          <a:avLst/>
        </a:prstGeom>
        <a:solidFill>
          <a:schemeClr val="bg2">
            <a:lumMod val="1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INICIO</a:t>
          </a:r>
        </a:p>
      </xdr:txBody>
    </xdr:sp>
    <xdr:clientData/>
  </xdr:twoCellAnchor>
  <xdr:twoCellAnchor>
    <xdr:from>
      <xdr:col>1</xdr:col>
      <xdr:colOff>190500</xdr:colOff>
      <xdr:row>5</xdr:row>
      <xdr:rowOff>53340</xdr:rowOff>
    </xdr:from>
    <xdr:to>
      <xdr:col>5</xdr:col>
      <xdr:colOff>182880</xdr:colOff>
      <xdr:row>17</xdr:row>
      <xdr:rowOff>140970</xdr:rowOff>
    </xdr:to>
    <xdr:graphicFrame macro="">
      <xdr:nvGraphicFramePr>
        <xdr:cNvPr id="22" name="Diagrama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8" r:lo="rId9" r:qs="rId10" r:cs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0</xdr:col>
      <xdr:colOff>373379</xdr:colOff>
      <xdr:row>4</xdr:row>
      <xdr:rowOff>45720</xdr:rowOff>
    </xdr:to>
    <xdr:sp macro="" textlink="">
      <xdr:nvSpPr>
        <xdr:cNvPr id="25" name="Trapeci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 rot="5400000">
          <a:off x="-179070" y="1002031"/>
          <a:ext cx="731520" cy="373378"/>
        </a:xfrm>
        <a:prstGeom prst="trapezoid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</xdr:colOff>
      <xdr:row>20</xdr:row>
      <xdr:rowOff>53340</xdr:rowOff>
    </xdr:from>
    <xdr:to>
      <xdr:col>0</xdr:col>
      <xdr:colOff>373378</xdr:colOff>
      <xdr:row>26</xdr:row>
      <xdr:rowOff>140972</xdr:rowOff>
    </xdr:to>
    <xdr:sp macro="" textlink="">
      <xdr:nvSpPr>
        <xdr:cNvPr id="21" name="Trapecio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 rot="5400000">
          <a:off x="-360046" y="4604387"/>
          <a:ext cx="1093472" cy="373377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COOPERADORA</a:t>
          </a:r>
        </a:p>
      </xdr:txBody>
    </xdr:sp>
    <xdr:clientData/>
  </xdr:twoCellAnchor>
  <xdr:twoCellAnchor>
    <xdr:from>
      <xdr:col>0</xdr:col>
      <xdr:colOff>1</xdr:colOff>
      <xdr:row>14</xdr:row>
      <xdr:rowOff>121920</xdr:rowOff>
    </xdr:from>
    <xdr:to>
      <xdr:col>0</xdr:col>
      <xdr:colOff>365761</xdr:colOff>
      <xdr:row>21</xdr:row>
      <xdr:rowOff>5099</xdr:rowOff>
    </xdr:to>
    <xdr:sp macro="" textlink="">
      <xdr:nvSpPr>
        <xdr:cNvPr id="22" name="Trapecio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 rot="5400000">
          <a:off x="-345449" y="3652530"/>
          <a:ext cx="1056659" cy="36576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BASE DE DATOS</a:t>
          </a:r>
        </a:p>
      </xdr:txBody>
    </xdr:sp>
    <xdr:clientData/>
  </xdr:twoCellAnchor>
  <xdr:twoCellAnchor>
    <xdr:from>
      <xdr:col>0</xdr:col>
      <xdr:colOff>2</xdr:colOff>
      <xdr:row>9</xdr:row>
      <xdr:rowOff>22866</xdr:rowOff>
    </xdr:from>
    <xdr:to>
      <xdr:col>0</xdr:col>
      <xdr:colOff>373382</xdr:colOff>
      <xdr:row>15</xdr:row>
      <xdr:rowOff>45720</xdr:rowOff>
    </xdr:to>
    <xdr:sp macro="" textlink="">
      <xdr:nvSpPr>
        <xdr:cNvPr id="23" name="Trapecio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 rot="5400000">
          <a:off x="-327655" y="2697483"/>
          <a:ext cx="1028694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CERTIFICADOS</a:t>
          </a:r>
        </a:p>
      </xdr:txBody>
    </xdr:sp>
    <xdr:clientData/>
  </xdr:twoCellAnchor>
  <xdr:twoCellAnchor>
    <xdr:from>
      <xdr:col>0</xdr:col>
      <xdr:colOff>1</xdr:colOff>
      <xdr:row>3</xdr:row>
      <xdr:rowOff>137160</xdr:rowOff>
    </xdr:from>
    <xdr:to>
      <xdr:col>0</xdr:col>
      <xdr:colOff>373381</xdr:colOff>
      <xdr:row>9</xdr:row>
      <xdr:rowOff>129540</xdr:rowOff>
    </xdr:to>
    <xdr:sp macro="" textlink="">
      <xdr:nvSpPr>
        <xdr:cNvPr id="24" name="Trapecio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 rot="5400000">
          <a:off x="-312419" y="1790700"/>
          <a:ext cx="998220" cy="373380"/>
        </a:xfrm>
        <a:prstGeom prst="trapezoid">
          <a:avLst/>
        </a:prstGeom>
        <a:solidFill>
          <a:schemeClr val="accent5">
            <a:lumMod val="75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TECNICATURAS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91440</xdr:rowOff>
    </xdr:from>
    <xdr:to>
      <xdr:col>0</xdr:col>
      <xdr:colOff>373380</xdr:colOff>
      <xdr:row>10</xdr:row>
      <xdr:rowOff>99060</xdr:rowOff>
    </xdr:to>
    <xdr:sp macro="" textlink="">
      <xdr:nvSpPr>
        <xdr:cNvPr id="17" name="Trapeci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 rot="5400000">
          <a:off x="-312420" y="967740"/>
          <a:ext cx="998220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TECNICATURAS</a:t>
          </a:r>
        </a:p>
      </xdr:txBody>
    </xdr:sp>
    <xdr:clientData/>
  </xdr:twoCellAnchor>
  <xdr:oneCellAnchor>
    <xdr:from>
      <xdr:col>1</xdr:col>
      <xdr:colOff>91127</xdr:colOff>
      <xdr:row>1</xdr:row>
      <xdr:rowOff>100852</xdr:rowOff>
    </xdr:from>
    <xdr:ext cx="663254" cy="893116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27" y="748552"/>
          <a:ext cx="663254" cy="893116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oneCellAnchor>
  <xdr:oneCellAnchor>
    <xdr:from>
      <xdr:col>6</xdr:col>
      <xdr:colOff>22413</xdr:colOff>
      <xdr:row>0</xdr:row>
      <xdr:rowOff>29707</xdr:rowOff>
    </xdr:from>
    <xdr:ext cx="705970" cy="997323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363" y="29707"/>
          <a:ext cx="705970" cy="997323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0</xdr:row>
      <xdr:rowOff>0</xdr:rowOff>
    </xdr:from>
    <xdr:to>
      <xdr:col>0</xdr:col>
      <xdr:colOff>373378</xdr:colOff>
      <xdr:row>5</xdr:row>
      <xdr:rowOff>15240</xdr:rowOff>
    </xdr:to>
    <xdr:sp macro="" textlink="">
      <xdr:nvSpPr>
        <xdr:cNvPr id="8" name="Trapeci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 rot="5400000">
          <a:off x="-179071" y="179071"/>
          <a:ext cx="731520" cy="373378"/>
        </a:xfrm>
        <a:prstGeom prst="trapezoid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0</xdr:colOff>
      <xdr:row>17</xdr:row>
      <xdr:rowOff>114300</xdr:rowOff>
    </xdr:from>
    <xdr:to>
      <xdr:col>0</xdr:col>
      <xdr:colOff>373377</xdr:colOff>
      <xdr:row>24</xdr:row>
      <xdr:rowOff>3812</xdr:rowOff>
    </xdr:to>
    <xdr:sp macro="" textlink="">
      <xdr:nvSpPr>
        <xdr:cNvPr id="13" name="Trapeci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 rot="5400000">
          <a:off x="-360047" y="3781427"/>
          <a:ext cx="1093472" cy="373377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COOPERADORA</a:t>
          </a:r>
        </a:p>
      </xdr:txBody>
    </xdr:sp>
    <xdr:clientData/>
  </xdr:twoCellAnchor>
  <xdr:twoCellAnchor>
    <xdr:from>
      <xdr:col>0</xdr:col>
      <xdr:colOff>0</xdr:colOff>
      <xdr:row>13</xdr:row>
      <xdr:rowOff>167640</xdr:rowOff>
    </xdr:from>
    <xdr:to>
      <xdr:col>0</xdr:col>
      <xdr:colOff>365760</xdr:colOff>
      <xdr:row>18</xdr:row>
      <xdr:rowOff>81299</xdr:rowOff>
    </xdr:to>
    <xdr:sp macro="" textlink="">
      <xdr:nvSpPr>
        <xdr:cNvPr id="15" name="Trapeci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 rot="5400000">
          <a:off x="-345450" y="2829570"/>
          <a:ext cx="1056659" cy="36576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BASE DE DATOS</a:t>
          </a:r>
        </a:p>
      </xdr:txBody>
    </xdr:sp>
    <xdr:clientData/>
  </xdr:twoCellAnchor>
  <xdr:twoCellAnchor>
    <xdr:from>
      <xdr:col>0</xdr:col>
      <xdr:colOff>1</xdr:colOff>
      <xdr:row>9</xdr:row>
      <xdr:rowOff>220986</xdr:rowOff>
    </xdr:from>
    <xdr:to>
      <xdr:col>0</xdr:col>
      <xdr:colOff>373381</xdr:colOff>
      <xdr:row>13</xdr:row>
      <xdr:rowOff>259080</xdr:rowOff>
    </xdr:to>
    <xdr:sp macro="" textlink="">
      <xdr:nvSpPr>
        <xdr:cNvPr id="16" name="Trapeci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 rot="5400000">
          <a:off x="-327656" y="1874523"/>
          <a:ext cx="1028694" cy="373380"/>
        </a:xfrm>
        <a:prstGeom prst="trapezoid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CERTIFICADOS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13</xdr:row>
      <xdr:rowOff>91440</xdr:rowOff>
    </xdr:from>
    <xdr:to>
      <xdr:col>0</xdr:col>
      <xdr:colOff>365761</xdr:colOff>
      <xdr:row>20</xdr:row>
      <xdr:rowOff>142259</xdr:rowOff>
    </xdr:to>
    <xdr:sp macro="" textlink="">
      <xdr:nvSpPr>
        <xdr:cNvPr id="8" name="Trapeci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 rot="5400000">
          <a:off x="-345449" y="3591570"/>
          <a:ext cx="1056659" cy="36576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BASE DE DATOS</a:t>
          </a:r>
        </a:p>
      </xdr:txBody>
    </xdr:sp>
    <xdr:clientData/>
  </xdr:twoCellAnchor>
  <xdr:twoCellAnchor>
    <xdr:from>
      <xdr:col>0</xdr:col>
      <xdr:colOff>2</xdr:colOff>
      <xdr:row>7</xdr:row>
      <xdr:rowOff>160026</xdr:rowOff>
    </xdr:from>
    <xdr:to>
      <xdr:col>0</xdr:col>
      <xdr:colOff>373382</xdr:colOff>
      <xdr:row>14</xdr:row>
      <xdr:rowOff>15240</xdr:rowOff>
    </xdr:to>
    <xdr:sp macro="" textlink="">
      <xdr:nvSpPr>
        <xdr:cNvPr id="9" name="Trapeci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 rot="5400000">
          <a:off x="-327655" y="2636523"/>
          <a:ext cx="1028694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CERTIFICADOS</a:t>
          </a:r>
        </a:p>
      </xdr:txBody>
    </xdr:sp>
    <xdr:clientData/>
  </xdr:twoCellAnchor>
  <xdr:twoCellAnchor>
    <xdr:from>
      <xdr:col>0</xdr:col>
      <xdr:colOff>1</xdr:colOff>
      <xdr:row>2</xdr:row>
      <xdr:rowOff>106680</xdr:rowOff>
    </xdr:from>
    <xdr:to>
      <xdr:col>0</xdr:col>
      <xdr:colOff>373381</xdr:colOff>
      <xdr:row>8</xdr:row>
      <xdr:rowOff>99060</xdr:rowOff>
    </xdr:to>
    <xdr:sp macro="" textlink="">
      <xdr:nvSpPr>
        <xdr:cNvPr id="10" name="Trapeci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 rot="5400000">
          <a:off x="-312419" y="1729740"/>
          <a:ext cx="998220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TECNICATURAS</a:t>
          </a:r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0</xdr:col>
      <xdr:colOff>373379</xdr:colOff>
      <xdr:row>3</xdr:row>
      <xdr:rowOff>15240</xdr:rowOff>
    </xdr:to>
    <xdr:sp macro="" textlink="">
      <xdr:nvSpPr>
        <xdr:cNvPr id="2" name="Trapecio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 rot="5400000">
          <a:off x="-179070" y="941071"/>
          <a:ext cx="731520" cy="373378"/>
        </a:xfrm>
        <a:prstGeom prst="trapezoid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</xdr:colOff>
      <xdr:row>20</xdr:row>
      <xdr:rowOff>22860</xdr:rowOff>
    </xdr:from>
    <xdr:to>
      <xdr:col>0</xdr:col>
      <xdr:colOff>373378</xdr:colOff>
      <xdr:row>26</xdr:row>
      <xdr:rowOff>110492</xdr:rowOff>
    </xdr:to>
    <xdr:sp macro="" textlink="">
      <xdr:nvSpPr>
        <xdr:cNvPr id="7" name="Trapeci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-360046" y="4543427"/>
          <a:ext cx="1093472" cy="373377"/>
        </a:xfrm>
        <a:prstGeom prst="trapezoid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COOPERADORA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</xdr:colOff>
      <xdr:row>0</xdr:row>
      <xdr:rowOff>0</xdr:rowOff>
    </xdr:from>
    <xdr:to>
      <xdr:col>0</xdr:col>
      <xdr:colOff>382340</xdr:colOff>
      <xdr:row>4</xdr:row>
      <xdr:rowOff>0</xdr:rowOff>
    </xdr:to>
    <xdr:sp macro="" textlink="">
      <xdr:nvSpPr>
        <xdr:cNvPr id="6" name="Trapecio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 rot="5400000">
          <a:off x="-153972" y="162936"/>
          <a:ext cx="699247" cy="373376"/>
        </a:xfrm>
        <a:prstGeom prst="trapezoid">
          <a:avLst/>
        </a:prstGeom>
        <a:solidFill>
          <a:schemeClr val="tx1"/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8965</xdr:colOff>
      <xdr:row>14</xdr:row>
      <xdr:rowOff>112507</xdr:rowOff>
    </xdr:from>
    <xdr:to>
      <xdr:col>0</xdr:col>
      <xdr:colOff>382342</xdr:colOff>
      <xdr:row>21</xdr:row>
      <xdr:rowOff>2915</xdr:rowOff>
    </xdr:to>
    <xdr:sp macro="" textlink="">
      <xdr:nvSpPr>
        <xdr:cNvPr id="5" name="Trapeci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 rot="5400000">
          <a:off x="-403974" y="3008670"/>
          <a:ext cx="1199255" cy="373377"/>
        </a:xfrm>
        <a:prstGeom prst="trapezoid">
          <a:avLst/>
        </a:prstGeom>
        <a:solidFill>
          <a:schemeClr val="accent5">
            <a:lumMod val="75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BASE DE DATOS</a:t>
          </a:r>
        </a:p>
      </xdr:txBody>
    </xdr:sp>
    <xdr:clientData/>
  </xdr:twoCellAnchor>
  <xdr:twoCellAnchor>
    <xdr:from>
      <xdr:col>0</xdr:col>
      <xdr:colOff>0</xdr:colOff>
      <xdr:row>3</xdr:row>
      <xdr:rowOff>106680</xdr:rowOff>
    </xdr:from>
    <xdr:to>
      <xdr:col>0</xdr:col>
      <xdr:colOff>373380</xdr:colOff>
      <xdr:row>9</xdr:row>
      <xdr:rowOff>99060</xdr:rowOff>
    </xdr:to>
    <xdr:sp macro="" textlink="">
      <xdr:nvSpPr>
        <xdr:cNvPr id="4" name="Trapeci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 rot="5400000">
          <a:off x="-342900" y="969533"/>
          <a:ext cx="1059180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TECNICATURAS</a:t>
          </a:r>
        </a:p>
      </xdr:txBody>
    </xdr:sp>
    <xdr:clientData/>
  </xdr:twoCellAnchor>
  <xdr:twoCellAnchor>
    <xdr:from>
      <xdr:col>0</xdr:col>
      <xdr:colOff>17931</xdr:colOff>
      <xdr:row>8</xdr:row>
      <xdr:rowOff>160027</xdr:rowOff>
    </xdr:from>
    <xdr:to>
      <xdr:col>0</xdr:col>
      <xdr:colOff>391311</xdr:colOff>
      <xdr:row>15</xdr:row>
      <xdr:rowOff>15242</xdr:rowOff>
    </xdr:to>
    <xdr:sp macro="" textlink="">
      <xdr:nvSpPr>
        <xdr:cNvPr id="3" name="Trapeci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 rot="5400000">
          <a:off x="-346034" y="1931451"/>
          <a:ext cx="1101309" cy="373380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CERTIFICADOS</a:t>
          </a:r>
        </a:p>
      </xdr:txBody>
    </xdr:sp>
    <xdr:clientData/>
  </xdr:twoCellAnchor>
  <xdr:twoCellAnchor>
    <xdr:from>
      <xdr:col>0</xdr:col>
      <xdr:colOff>26894</xdr:colOff>
      <xdr:row>20</xdr:row>
      <xdr:rowOff>197224</xdr:rowOff>
    </xdr:from>
    <xdr:to>
      <xdr:col>0</xdr:col>
      <xdr:colOff>400271</xdr:colOff>
      <xdr:row>27</xdr:row>
      <xdr:rowOff>105561</xdr:rowOff>
    </xdr:to>
    <xdr:sp macro="" textlink="">
      <xdr:nvSpPr>
        <xdr:cNvPr id="10" name="Trapeci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 rot="5400000">
          <a:off x="-386045" y="4178116"/>
          <a:ext cx="1199255" cy="373377"/>
        </a:xfrm>
        <a:prstGeom prst="trapezoid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vert="vert270" wrap="square" lIns="18288" tIns="0" rIns="0" bIns="0" rtlCol="0" anchor="ctr" upright="1"/>
        <a:lstStyle/>
        <a:p>
          <a:pPr algn="ctr"/>
          <a:r>
            <a:rPr lang="es-AR" sz="1000">
              <a:solidFill>
                <a:schemeClr val="bg1"/>
              </a:solidFill>
              <a:latin typeface="+mn-lt"/>
            </a:rPr>
            <a:t>COOPERADORA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orge\ISPT\ISPT\ISPT%20(general)\ALUMNOS\A_Base%20General%20Alumnos%20(BGA)\Trayecto\ALU_TFP_Activ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tico Trayecto"/>
      <sheetName val="Certificado Trayecto"/>
      <sheetName val="TFP_Datos"/>
      <sheetName val="P_Asistencia"/>
      <sheetName val="P_Evaluacion"/>
      <sheetName val="P_UsosMult"/>
      <sheetName val="Estadisticas"/>
      <sheetName val="DB_Materias"/>
    </sheetNames>
  </externalBook>
</externalLink>
</file>

<file path=xl/tables/table1.xml><?xml version="1.0" encoding="utf-8"?>
<table xmlns="http://schemas.openxmlformats.org/spreadsheetml/2006/main" id="1" name="Tabla1" displayName="Tabla1" ref="B1:E15" totalsRowShown="0">
  <autoFilter ref="B1:E15"/>
  <tableColumns count="4">
    <tableColumn id="1" name="TECNICATURAS"/>
    <tableColumn id="2" name="AÑOS" dataDxfId="337"/>
    <tableColumn id="4" name="MATERIAS" dataDxfId="336"/>
    <tableColumn id="5" name="CORRELATIVA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:P59" totalsRowCount="1" headerRowBorderDxfId="441" tableBorderDxfId="440" totalsRowBorderDxfId="439">
  <autoFilter ref="B1:P58"/>
  <sortState ref="C2:P59">
    <sortCondition ref="C1:C59"/>
  </sortState>
  <tableColumns count="15">
    <tableColumn id="3" name="Legajo" dataDxfId="438" totalsRowDxfId="13"/>
    <tableColumn id="4" name="Apellido y Nombre" totalsRowFunction="count" dataDxfId="437" totalsRowDxfId="12"/>
    <tableColumn id="2" name="SEDE" dataDxfId="436" totalsRowDxfId="11"/>
    <tableColumn id="1" name="Nro Doc" dataDxfId="435"/>
    <tableColumn id="19" name="Fecha limite de pago " dataDxfId="434" totalsRowDxfId="10" dataCellStyle="Millares"/>
    <tableColumn id="23" name="TELEFONO" dataDxfId="433" totalsRowDxfId="9" dataCellStyle="Millares [0]"/>
    <tableColumn id="7" name="COSTO DE INSCRIPCION" dataDxfId="432" totalsRowDxfId="8"/>
    <tableColumn id="8" name="Cuota 1" dataDxfId="431" totalsRowDxfId="7"/>
    <tableColumn id="9" name="Cuota 2" dataDxfId="430" totalsRowDxfId="6"/>
    <tableColumn id="10" name="Cuota 3" dataDxfId="429" totalsRowDxfId="5"/>
    <tableColumn id="20" name="PAGOS RECIBIDOS" dataDxfId="428" totalsRowDxfId="4"/>
    <tableColumn id="21" name="SALDO" dataDxfId="427" totalsRowDxfId="3"/>
    <tableColumn id="24" name="Estatus de fecha de Vencimientos" dataDxfId="426" totalsRowDxfId="2">
      <calculatedColumnFormula>IF(Tabla2[[#This Row],[Fecha limite de pago ]]&lt;=TODAY(), "A VENCERSE", " ")</calculatedColumnFormula>
    </tableColumn>
    <tableColumn id="27" name="Enviar Alerta" dataDxfId="425" totalsRowDxfId="1">
      <calculatedColumnFormula>IF(Tabla2[[#This Row],[Estatus de fecha de Vencimientos]]= "A VENCERSE", HYPERLINK("https://api.whatsapp.com/send?phone="&amp;Tabla2[[#This Row],[TELEFONO]]&amp;"&amp;text="&amp;Tabla2[[#This Row],[Mensaje]],"Enviar Msj"), "")</calculatedColumnFormula>
    </tableColumn>
    <tableColumn id="26" name="Mensaje" dataDxfId="424" totalsRowDxfId="0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1:AC57" totalsRowShown="0">
  <autoFilter ref="B1:AC57"/>
  <sortState ref="B3:Z58">
    <sortCondition ref="F2:F58"/>
  </sortState>
  <tableColumns count="28">
    <tableColumn id="1" name="Estado"/>
    <tableColumn id="2" name="Cohorte"/>
    <tableColumn id="3" name="Legajo"/>
    <tableColumn id="25" name="APELLIDO Y NOMBRE" dataDxfId="423"/>
    <tableColumn id="23" name="APELLIDOS" dataDxfId="422"/>
    <tableColumn id="4" name="NOMBRES"/>
    <tableColumn id="5" name="Tipo DNI"/>
    <tableColumn id="6" name="Nro DNI"/>
    <tableColumn id="24" name="CUIL" dataDxfId="421" dataCellStyle="Millares"/>
    <tableColumn id="7" name="S"/>
    <tableColumn id="8" name="Fecha de Nac"/>
    <tableColumn id="9" name="Edad" dataDxfId="420">
      <calculatedColumnFormula>+YEAR(TODAY())-YEAR(L2)</calculatedColumnFormula>
    </tableColumn>
    <tableColumn id="10" name="Ciudad/Pueblo"/>
    <tableColumn id="11" name="Departamento"/>
    <tableColumn id="12" name="Provincia"/>
    <tableColumn id="13" name="Pais"/>
    <tableColumn id="14" name="Telefono" dataDxfId="419"/>
    <tableColumn id="15" name="Tbase"/>
    <tableColumn id="16" name="Columna1" dataDxfId="418"/>
    <tableColumn id="17" name="Fotocopia DNI"/>
    <tableColumn id="18" name="CUIL2"/>
    <tableColumn id="19" name="Partida de Nacimiento"/>
    <tableColumn id="20" name="Analitico y Título"/>
    <tableColumn id="21" name="FOTOS 4X4 "/>
    <tableColumn id="22" name="CUS"/>
    <tableColumn id="30" name="Serie"/>
    <tableColumn id="32" name="Libro Matriz"/>
    <tableColumn id="33" name="N° DE ORDEN 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1:H58" totalsRowShown="0" headerRowDxfId="417" tableBorderDxfId="416">
  <autoFilter ref="A1:H58"/>
  <tableColumns count="8">
    <tableColumn id="1" name="Estado" dataDxfId="415"/>
    <tableColumn id="2" name="Cohorte" dataDxfId="414"/>
    <tableColumn id="3" name="Leg" dataDxfId="413"/>
    <tableColumn id="8" name="APELLIDOS Y NOMBRES" dataDxfId="412">
      <calculatedColumnFormula>CONCATENATE(E:E," ",F:F)</calculatedColumnFormula>
    </tableColumn>
    <tableColumn id="4" name="APELLIDO" dataDxfId="411"/>
    <tableColumn id="5" name="NOMBRE" dataDxfId="410"/>
    <tableColumn id="6" name="Tdoc" dataDxfId="409"/>
    <tableColumn id="7" name="Ndoc" dataDxfId="408" dataCellStyle="Millares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J2:CB58" totalsRowShown="0">
  <autoFilter ref="J2:CB58"/>
  <tableColumns count="71">
    <tableColumn id="1" name="Libro" dataDxfId="407"/>
    <tableColumn id="2" name="Folio" dataDxfId="406"/>
    <tableColumn id="3" name="Fecha" dataDxfId="405"/>
    <tableColumn id="4" name="Nota N°" dataDxfId="404"/>
    <tableColumn id="5" name="Letras" dataDxfId="403"/>
    <tableColumn id="6" name="Texa"/>
    <tableColumn id="38" name="Sede" dataDxfId="402"/>
    <tableColumn id="37" name="Columna1" dataDxfId="401" dataCellStyle="Millares"/>
    <tableColumn id="7" name="Libro2" dataDxfId="400"/>
    <tableColumn id="8" name="Folio3" dataDxfId="399"/>
    <tableColumn id="9" name="Fecha4" dataDxfId="398"/>
    <tableColumn id="10" name="Nota N°5" dataDxfId="397"/>
    <tableColumn id="11" name="Letras6" dataDxfId="396"/>
    <tableColumn id="12" name="Texa7" dataDxfId="395"/>
    <tableColumn id="64" name="Sede2" dataDxfId="394"/>
    <tableColumn id="39" name="Texa8" dataDxfId="393" dataCellStyle="Millares"/>
    <tableColumn id="19" name="Libro14" dataDxfId="392"/>
    <tableColumn id="20" name="Folio15" dataDxfId="391"/>
    <tableColumn id="21" name="Fecha16" dataDxfId="390"/>
    <tableColumn id="22" name="Nota N°17" dataDxfId="389"/>
    <tableColumn id="23" name="Letras18" dataDxfId="388"/>
    <tableColumn id="24" name="Texa19" dataDxfId="387"/>
    <tableColumn id="65" name="Sede3" dataDxfId="386"/>
    <tableColumn id="40" name="Columna2" dataDxfId="385"/>
    <tableColumn id="13" name="Libro8" dataDxfId="384"/>
    <tableColumn id="14" name="Folio9" dataDxfId="383"/>
    <tableColumn id="15" name="Fecha10" dataDxfId="382"/>
    <tableColumn id="16" name="Nota N°11" dataDxfId="381"/>
    <tableColumn id="17" name="Letras12" dataDxfId="380"/>
    <tableColumn id="18" name="Texa13" dataDxfId="379"/>
    <tableColumn id="66" name="Sede4" dataDxfId="378"/>
    <tableColumn id="41" name="Texa14" dataDxfId="377"/>
    <tableColumn id="25" name="Libro20" dataDxfId="376"/>
    <tableColumn id="26" name="Folio21" dataDxfId="375"/>
    <tableColumn id="27" name="Fecha22" dataDxfId="374"/>
    <tableColumn id="28" name="Nota N°23" dataDxfId="373"/>
    <tableColumn id="29" name="Letras24" dataDxfId="372"/>
    <tableColumn id="30" name="Texa25" dataDxfId="371"/>
    <tableColumn id="67" name="Sede5" dataDxfId="370"/>
    <tableColumn id="42" name="Texa26" dataDxfId="369"/>
    <tableColumn id="31" name="Libro26" dataDxfId="368"/>
    <tableColumn id="32" name="Folio27" dataDxfId="367"/>
    <tableColumn id="33" name="Fecha28" dataDxfId="366"/>
    <tableColumn id="34" name="Nota N°29" dataDxfId="365"/>
    <tableColumn id="35" name="Letras30" dataDxfId="364"/>
    <tableColumn id="36" name="Texa31" dataDxfId="363"/>
    <tableColumn id="68" name="SEDE6" dataDxfId="362"/>
    <tableColumn id="43" name="Columna3" dataDxfId="361"/>
    <tableColumn id="44" name="Libro82" dataDxfId="360"/>
    <tableColumn id="45" name="Folio93" dataDxfId="359"/>
    <tableColumn id="46" name="Fecha104" dataDxfId="358"/>
    <tableColumn id="47" name="Nota N°115" dataDxfId="357"/>
    <tableColumn id="48" name="Letras126" dataDxfId="356"/>
    <tableColumn id="49" name="Texa137" dataDxfId="355"/>
    <tableColumn id="69" name="Sede7" dataDxfId="354"/>
    <tableColumn id="50" name="Texa148" dataDxfId="353"/>
    <tableColumn id="51" name="Libro209" dataDxfId="352"/>
    <tableColumn id="52" name="Folio2110" dataDxfId="351"/>
    <tableColumn id="53" name="Fecha2211" dataDxfId="350"/>
    <tableColumn id="54" name="Nota N°2312" dataDxfId="349"/>
    <tableColumn id="55" name="Letras2413" dataDxfId="348"/>
    <tableColumn id="56" name="Texa2514" dataDxfId="347"/>
    <tableColumn id="70" name="Sede8" dataDxfId="346"/>
    <tableColumn id="57" name="Columna4" dataDxfId="345"/>
    <tableColumn id="58" name="Libro2092" dataDxfId="344"/>
    <tableColumn id="59" name="Folio21103" dataDxfId="343"/>
    <tableColumn id="60" name="Fecha22114" dataDxfId="342"/>
    <tableColumn id="61" name="Nota N°23125" dataDxfId="341"/>
    <tableColumn id="62" name="Letras24132" dataDxfId="340"/>
    <tableColumn id="63" name="Texa25143" dataDxfId="339"/>
    <tableColumn id="71" name="Sede9" dataDxfId="33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alejoscfchesik@g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mazamariap@gmail.com" TargetMode="External"/><Relationship Id="rId1" Type="http://schemas.openxmlformats.org/officeDocument/2006/relationships/hyperlink" Target="mailto:ivan-aguilar@hotmail.com.ar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serafiniclaudio1986@gmail.com" TargetMode="External"/><Relationship Id="rId9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0"/>
  <sheetViews>
    <sheetView showRowColHeaders="0" workbookViewId="0">
      <pane xSplit="1" topLeftCell="B1" activePane="topRight" state="frozen"/>
      <selection pane="topRight"/>
    </sheetView>
  </sheetViews>
  <sheetFormatPr baseColWidth="10" defaultColWidth="0" defaultRowHeight="12.75" zeroHeight="1"/>
  <cols>
    <col min="1" max="1" width="5.42578125" style="88" customWidth="1"/>
    <col min="2" max="2" width="5.42578125" customWidth="1"/>
    <col min="3" max="17" width="11.5703125" customWidth="1"/>
    <col min="18" max="31" width="0" hidden="1" customWidth="1"/>
    <col min="32" max="16384" width="11.5703125" hidden="1"/>
  </cols>
  <sheetData>
    <row r="1" spans="1:17" s="88" customFormat="1"/>
    <row r="2" spans="1:17" s="88" customFormat="1"/>
    <row r="3" spans="1:17" s="88" customFormat="1"/>
    <row r="4" spans="1:17" s="88" customFormat="1">
      <c r="B4" s="49"/>
      <c r="C4" s="49"/>
      <c r="D4" s="49"/>
      <c r="E4" s="49"/>
      <c r="F4" s="49"/>
      <c r="G4" s="49"/>
      <c r="H4" s="49"/>
      <c r="I4" s="49"/>
      <c r="J4" s="49"/>
      <c r="K4" s="50"/>
      <c r="L4" s="49"/>
      <c r="M4" s="49"/>
      <c r="N4" s="49"/>
      <c r="O4" s="49"/>
      <c r="P4" s="49"/>
      <c r="Q4" s="49"/>
    </row>
    <row r="5" spans="1:17" s="88" customFormat="1">
      <c r="B5" s="49"/>
      <c r="C5" s="49"/>
      <c r="D5" s="49"/>
      <c r="E5" s="49"/>
      <c r="F5" s="49"/>
      <c r="G5" s="49"/>
      <c r="H5" s="49"/>
      <c r="I5" s="49"/>
      <c r="J5" s="49"/>
      <c r="K5" s="50"/>
      <c r="L5" s="49"/>
      <c r="M5" s="49"/>
      <c r="N5" s="49"/>
      <c r="O5" s="49"/>
      <c r="P5" s="49"/>
      <c r="Q5" s="49"/>
    </row>
    <row r="6" spans="1:17" s="88" customFormat="1">
      <c r="B6" s="49"/>
      <c r="C6" s="49"/>
      <c r="D6" s="49"/>
      <c r="E6" s="49"/>
      <c r="F6" s="49"/>
      <c r="G6" s="49"/>
      <c r="H6" s="49"/>
      <c r="I6" s="49"/>
      <c r="J6" s="49"/>
      <c r="K6" s="50"/>
      <c r="L6" s="49"/>
      <c r="M6" s="49"/>
      <c r="N6" s="49"/>
      <c r="O6" s="49"/>
      <c r="P6" s="49"/>
      <c r="Q6" s="49"/>
    </row>
    <row r="7" spans="1:17" s="88" customFormat="1">
      <c r="B7" s="49"/>
      <c r="C7" s="49"/>
      <c r="D7" s="49"/>
      <c r="E7" s="49"/>
      <c r="F7" s="49"/>
      <c r="G7" s="49"/>
      <c r="H7" s="49"/>
      <c r="I7" s="49"/>
      <c r="J7" s="49"/>
      <c r="K7" s="50"/>
      <c r="L7" s="49"/>
      <c r="M7" s="49"/>
      <c r="N7" s="49"/>
      <c r="O7" s="49"/>
      <c r="P7" s="49"/>
      <c r="Q7" s="49"/>
    </row>
    <row r="8" spans="1:17" s="88" customFormat="1">
      <c r="B8" s="49"/>
      <c r="C8" s="49"/>
      <c r="D8" s="49"/>
      <c r="E8" s="49"/>
      <c r="F8" s="49"/>
      <c r="G8" s="49"/>
      <c r="H8" s="49"/>
      <c r="I8" s="49"/>
      <c r="J8" s="49"/>
      <c r="K8" s="50"/>
      <c r="L8" s="49"/>
      <c r="M8" s="49"/>
      <c r="N8" s="49"/>
      <c r="O8" s="49"/>
      <c r="P8" s="49"/>
      <c r="Q8" s="49"/>
    </row>
    <row r="9" spans="1:17" s="88" customFormat="1">
      <c r="B9" s="49"/>
      <c r="C9" s="49"/>
      <c r="D9" s="49"/>
      <c r="E9" s="49"/>
      <c r="F9" s="49"/>
      <c r="G9" s="49"/>
      <c r="H9" s="49"/>
      <c r="I9" s="49"/>
      <c r="J9" s="49"/>
      <c r="K9" s="50"/>
      <c r="L9" s="49"/>
      <c r="M9" s="49"/>
      <c r="N9" s="49"/>
      <c r="O9" s="49"/>
      <c r="P9" s="49"/>
      <c r="Q9" s="49"/>
    </row>
    <row r="10" spans="1:17" s="88" customFormat="1">
      <c r="B10" s="49"/>
      <c r="C10" s="49"/>
      <c r="D10" s="49"/>
      <c r="E10" s="49"/>
      <c r="F10" s="49"/>
      <c r="G10" s="49"/>
      <c r="H10" s="49"/>
      <c r="I10" s="49"/>
      <c r="J10" s="49"/>
      <c r="K10" s="50"/>
      <c r="L10" s="86"/>
      <c r="M10" s="49"/>
      <c r="N10" s="87"/>
      <c r="O10" s="87"/>
      <c r="P10" s="87"/>
      <c r="Q10" s="87"/>
    </row>
    <row r="11" spans="1:17" s="1" customFormat="1" ht="10.5">
      <c r="A11" s="49"/>
      <c r="B11" s="49"/>
      <c r="C11" s="344" t="s">
        <v>92</v>
      </c>
      <c r="D11" s="344"/>
      <c r="E11" s="344"/>
      <c r="F11" s="345"/>
      <c r="G11" s="345"/>
      <c r="H11" s="345"/>
      <c r="I11" s="345"/>
      <c r="J11" s="345"/>
      <c r="K11" s="345"/>
      <c r="L11" s="345"/>
      <c r="M11" s="345"/>
      <c r="N11" s="345"/>
      <c r="O11" s="345"/>
      <c r="P11" s="345"/>
      <c r="Q11" s="49"/>
    </row>
    <row r="12" spans="1:17" s="1" customFormat="1" ht="10.5">
      <c r="A12" s="49"/>
      <c r="B12" s="49"/>
      <c r="C12" s="345"/>
      <c r="D12" s="345"/>
      <c r="E12" s="345"/>
      <c r="F12" s="345"/>
      <c r="G12" s="345"/>
      <c r="H12" s="345"/>
      <c r="I12" s="345"/>
      <c r="J12" s="345"/>
      <c r="K12" s="345"/>
      <c r="L12" s="345"/>
      <c r="M12" s="345"/>
      <c r="N12" s="345"/>
      <c r="O12" s="345"/>
      <c r="P12" s="345"/>
      <c r="Q12" s="49"/>
    </row>
    <row r="13" spans="1:17" s="1" customFormat="1" ht="12" customHeight="1">
      <c r="A13" s="49"/>
      <c r="B13" s="49"/>
      <c r="C13" s="345"/>
      <c r="D13" s="345"/>
      <c r="E13" s="345"/>
      <c r="F13" s="345"/>
      <c r="G13" s="345"/>
      <c r="H13" s="345"/>
      <c r="I13" s="345"/>
      <c r="J13" s="345"/>
      <c r="K13" s="345"/>
      <c r="L13" s="345"/>
      <c r="M13" s="345"/>
      <c r="N13" s="345"/>
      <c r="O13" s="345"/>
      <c r="P13" s="345"/>
      <c r="Q13" s="49"/>
    </row>
    <row r="14" spans="1:17" s="1" customFormat="1" ht="22.9" customHeight="1">
      <c r="A14" s="49"/>
      <c r="B14" s="49"/>
      <c r="C14" s="345"/>
      <c r="D14" s="345"/>
      <c r="E14" s="345"/>
      <c r="F14" s="345"/>
      <c r="G14" s="345"/>
      <c r="H14" s="345"/>
      <c r="I14" s="345"/>
      <c r="J14" s="345"/>
      <c r="K14" s="345"/>
      <c r="L14" s="345"/>
      <c r="M14" s="345"/>
      <c r="N14" s="345"/>
      <c r="O14" s="345"/>
      <c r="P14" s="345"/>
      <c r="Q14" s="49"/>
    </row>
    <row r="15" spans="1:17" s="1" customFormat="1" ht="12" customHeight="1">
      <c r="A15" s="49"/>
      <c r="B15" s="49"/>
      <c r="C15" s="345"/>
      <c r="D15" s="345"/>
      <c r="E15" s="345"/>
      <c r="F15" s="345"/>
      <c r="G15" s="345"/>
      <c r="H15" s="345"/>
      <c r="I15" s="345"/>
      <c r="J15" s="345"/>
      <c r="K15" s="345"/>
      <c r="L15" s="345"/>
      <c r="M15" s="345"/>
      <c r="N15" s="345"/>
      <c r="O15" s="345"/>
      <c r="P15" s="345"/>
      <c r="Q15" s="49"/>
    </row>
    <row r="16" spans="1:17" s="1" customFormat="1" ht="30.6" customHeight="1">
      <c r="A16" s="49"/>
      <c r="B16" s="49"/>
      <c r="C16" s="346" t="s">
        <v>93</v>
      </c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49"/>
    </row>
    <row r="17" spans="1:31" s="1" customFormat="1" ht="30" customHeight="1">
      <c r="A17" s="49"/>
      <c r="B17" s="49"/>
      <c r="C17" s="347" t="s">
        <v>239</v>
      </c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49"/>
    </row>
    <row r="18" spans="1:31" s="1" customFormat="1" ht="12" customHeight="1">
      <c r="A18" s="49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</row>
    <row r="19" spans="1:31" s="1" customFormat="1" ht="12" customHeight="1">
      <c r="A19" s="49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</row>
    <row r="20" spans="1:31" s="1" customFormat="1" ht="18" customHeight="1">
      <c r="A20" s="49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</row>
    <row r="21" spans="1:31" s="1" customFormat="1" ht="20.25" customHeight="1">
      <c r="A21" s="49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</row>
    <row r="22" spans="1:31" s="1" customFormat="1" ht="16.5" customHeight="1">
      <c r="A22" s="49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27"/>
    </row>
    <row r="23" spans="1:31" s="1" customFormat="1" ht="24" customHeight="1">
      <c r="A23" s="49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27"/>
    </row>
    <row r="24" spans="1:31" s="1" customFormat="1" ht="34.5" customHeight="1">
      <c r="A24" s="49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78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</row>
    <row r="25" spans="1:31" hidden="1"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</row>
    <row r="26" spans="1:31" hidden="1"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</row>
    <row r="27" spans="1:31" hidden="1"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</row>
    <row r="28" spans="1:31" hidden="1"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</row>
    <row r="29" spans="1:31" hidden="1"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</row>
    <row r="30" spans="1:31" hidden="1"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</row>
  </sheetData>
  <mergeCells count="3">
    <mergeCell ref="C11:P15"/>
    <mergeCell ref="C16:P16"/>
    <mergeCell ref="C17:P1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CORRELATIVOS!$B$2:$B$41</xm:f>
          </x14:formula1>
          <xm:sqref>C17:P17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1"/>
  <sheetViews>
    <sheetView workbookViewId="0">
      <selection activeCell="B2" sqref="B2"/>
    </sheetView>
  </sheetViews>
  <sheetFormatPr baseColWidth="10" defaultRowHeight="12.75"/>
  <cols>
    <col min="1" max="1" width="10" style="88" customWidth="1"/>
    <col min="2" max="2" width="49.7109375" bestFit="1" customWidth="1"/>
    <col min="3" max="3" width="6.7109375" customWidth="1"/>
    <col min="4" max="4" width="42.5703125" customWidth="1"/>
    <col min="5" max="5" width="20.5703125" customWidth="1"/>
  </cols>
  <sheetData>
    <row r="1" spans="2:5">
      <c r="B1" t="s">
        <v>241</v>
      </c>
      <c r="C1" s="91" t="s">
        <v>238</v>
      </c>
      <c r="D1" s="91" t="s">
        <v>237</v>
      </c>
      <c r="E1" s="411" t="s">
        <v>741</v>
      </c>
    </row>
    <row r="2" spans="2:5">
      <c r="B2" t="s">
        <v>240</v>
      </c>
      <c r="C2" s="89"/>
      <c r="D2" s="89"/>
    </row>
    <row r="3" spans="2:5">
      <c r="B3" s="90"/>
      <c r="C3" s="89"/>
      <c r="D3" s="89"/>
    </row>
    <row r="4" spans="2:5">
      <c r="B4" s="90"/>
      <c r="C4" s="89"/>
      <c r="D4" s="89"/>
    </row>
    <row r="5" spans="2:5">
      <c r="B5" s="90"/>
      <c r="C5" s="89"/>
      <c r="D5" s="89"/>
    </row>
    <row r="6" spans="2:5">
      <c r="B6" s="90"/>
      <c r="C6" s="89"/>
      <c r="D6" s="89"/>
    </row>
    <row r="7" spans="2:5">
      <c r="B7" s="90"/>
      <c r="C7" s="89"/>
      <c r="D7" s="89"/>
    </row>
    <row r="8" spans="2:5">
      <c r="B8" s="90"/>
      <c r="C8" s="89"/>
      <c r="D8" s="89"/>
    </row>
    <row r="9" spans="2:5">
      <c r="B9" s="90"/>
      <c r="C9" s="89"/>
      <c r="D9" s="89"/>
    </row>
    <row r="10" spans="2:5">
      <c r="B10" s="90"/>
      <c r="C10" s="89"/>
      <c r="D10" s="89"/>
    </row>
    <row r="11" spans="2:5">
      <c r="B11" s="90"/>
      <c r="C11" s="89"/>
      <c r="D11" s="89"/>
    </row>
    <row r="12" spans="2:5">
      <c r="B12" s="90"/>
      <c r="C12" s="89"/>
      <c r="D12" s="89"/>
    </row>
    <row r="13" spans="2:5">
      <c r="B13" s="90"/>
      <c r="C13" s="89"/>
      <c r="D13" s="89"/>
    </row>
    <row r="14" spans="2:5">
      <c r="B14" s="90"/>
      <c r="C14" s="89"/>
      <c r="D14" s="89"/>
    </row>
    <row r="15" spans="2:5">
      <c r="B15" s="90"/>
      <c r="C15" s="89"/>
      <c r="D15" s="89"/>
    </row>
    <row r="16" spans="2:5">
      <c r="B16" s="90"/>
    </row>
    <row r="17" spans="2:2">
      <c r="B17" s="90"/>
    </row>
    <row r="18" spans="2:2">
      <c r="B18" s="90"/>
    </row>
    <row r="19" spans="2:2">
      <c r="B19" s="90"/>
    </row>
    <row r="20" spans="2:2">
      <c r="B20" s="90"/>
    </row>
    <row r="21" spans="2:2">
      <c r="B21" s="90"/>
    </row>
    <row r="22" spans="2:2">
      <c r="B22" s="90"/>
    </row>
    <row r="23" spans="2:2">
      <c r="B23" s="90"/>
    </row>
    <row r="24" spans="2:2">
      <c r="B24" s="90"/>
    </row>
    <row r="25" spans="2:2">
      <c r="B25" s="90"/>
    </row>
    <row r="26" spans="2:2">
      <c r="B26" s="90"/>
    </row>
    <row r="27" spans="2:2">
      <c r="B27" s="90"/>
    </row>
    <row r="28" spans="2:2">
      <c r="B28" s="90"/>
    </row>
    <row r="29" spans="2:2">
      <c r="B29" s="90"/>
    </row>
    <row r="30" spans="2:2">
      <c r="B30" s="90"/>
    </row>
    <row r="31" spans="2:2">
      <c r="B31" s="90"/>
    </row>
    <row r="32" spans="2:2">
      <c r="B32" s="90"/>
    </row>
    <row r="33" spans="2:2">
      <c r="B33" s="90"/>
    </row>
    <row r="34" spans="2:2">
      <c r="B34" s="90"/>
    </row>
    <row r="35" spans="2:2">
      <c r="B35" s="90"/>
    </row>
    <row r="36" spans="2:2">
      <c r="B36" s="90"/>
    </row>
    <row r="37" spans="2:2">
      <c r="B37" s="90"/>
    </row>
    <row r="38" spans="2:2">
      <c r="B38" s="90"/>
    </row>
    <row r="39" spans="2:2">
      <c r="B39" s="90"/>
    </row>
    <row r="40" spans="2:2">
      <c r="B40" s="90"/>
    </row>
    <row r="41" spans="2:2">
      <c r="B41" s="90"/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W93"/>
  <sheetViews>
    <sheetView showGridLines="0" zoomScaleNormal="100" zoomScaleSheetLayoutView="100" workbookViewId="0">
      <selection activeCell="E33" sqref="E33"/>
    </sheetView>
  </sheetViews>
  <sheetFormatPr baseColWidth="10" defaultColWidth="0" defaultRowHeight="10.5" zeroHeight="1"/>
  <cols>
    <col min="1" max="1" width="5.85546875" style="1" customWidth="1"/>
    <col min="2" max="2" width="1.5703125" style="1" customWidth="1"/>
    <col min="3" max="3" width="31.5703125" style="1" customWidth="1"/>
    <col min="4" max="4" width="15.5703125" style="1" bestFit="1" customWidth="1"/>
    <col min="5" max="8" width="7.85546875" style="1" customWidth="1"/>
    <col min="9" max="9" width="7.85546875" style="2" customWidth="1"/>
    <col min="10" max="11" width="7.85546875" style="1" customWidth="1"/>
    <col min="12" max="12" width="16.42578125" style="1" customWidth="1"/>
    <col min="13" max="14" width="9.140625" style="1" customWidth="1"/>
    <col min="15" max="15" width="1.42578125" style="1" customWidth="1"/>
    <col min="16" max="16" width="11.5703125" style="1" hidden="1" customWidth="1"/>
    <col min="17" max="22" width="12" style="1" hidden="1" customWidth="1"/>
    <col min="23" max="257" width="11.42578125" style="1" hidden="1" customWidth="1"/>
    <col min="258" max="16384" width="5.42578125" style="1" hidden="1"/>
  </cols>
  <sheetData>
    <row r="1" spans="3:29"/>
    <row r="2" spans="3:29" ht="10.15" customHeight="1"/>
    <row r="3" spans="3:29" ht="12" customHeight="1"/>
    <row r="4" spans="3:29" ht="12" customHeight="1"/>
    <row r="5" spans="3:29" ht="12" customHeight="1"/>
    <row r="6" spans="3:29" ht="12" customHeight="1"/>
    <row r="7" spans="3:29" ht="12" customHeight="1">
      <c r="J7" s="32"/>
      <c r="L7" s="3"/>
      <c r="M7" s="3"/>
      <c r="N7" s="3"/>
      <c r="O7" s="3"/>
    </row>
    <row r="8" spans="3:29" ht="12" customHeight="1">
      <c r="C8" s="348" t="s">
        <v>92</v>
      </c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</row>
    <row r="9" spans="3:29" ht="12" customHeight="1"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</row>
    <row r="10" spans="3:29" ht="18" customHeight="1"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9"/>
    </row>
    <row r="11" spans="3:29" ht="20.25" customHeight="1"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</row>
    <row r="12" spans="3:29" ht="16.5" customHeight="1"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P12" s="27"/>
    </row>
    <row r="13" spans="3:29" ht="24" customHeight="1">
      <c r="C13" s="346" t="s">
        <v>93</v>
      </c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  <c r="P13" s="27"/>
    </row>
    <row r="14" spans="3:29" ht="34.5" customHeight="1" thickBot="1">
      <c r="C14" s="350" t="s">
        <v>742</v>
      </c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34"/>
      <c r="P14" s="78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</row>
    <row r="15" spans="3:29" ht="20.25" customHeight="1">
      <c r="D15" s="375" t="s">
        <v>90</v>
      </c>
      <c r="E15" s="375"/>
      <c r="F15" s="375"/>
      <c r="G15" s="375"/>
      <c r="H15" s="375"/>
      <c r="I15" s="375"/>
      <c r="J15" s="375"/>
      <c r="K15" s="375"/>
      <c r="L15" s="375"/>
      <c r="P15" s="73"/>
      <c r="Q15" s="73"/>
      <c r="R15" s="73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</row>
    <row r="16" spans="3:29" ht="12" customHeight="1">
      <c r="P16" s="73"/>
      <c r="Q16" s="73"/>
      <c r="R16" s="73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</row>
    <row r="17" spans="3:38" ht="12" customHeight="1">
      <c r="C17" s="51" t="s">
        <v>2</v>
      </c>
      <c r="D17" s="365" t="s">
        <v>732</v>
      </c>
      <c r="E17" s="365"/>
      <c r="F17" s="365"/>
      <c r="G17" s="365"/>
      <c r="H17" s="365"/>
      <c r="I17" s="365"/>
      <c r="J17" s="365"/>
      <c r="K17" s="27"/>
      <c r="L17" s="27"/>
      <c r="M17" s="27"/>
      <c r="N17" s="27"/>
      <c r="O17" s="27"/>
      <c r="P17" s="72" t="s">
        <v>89</v>
      </c>
      <c r="Q17" s="72"/>
      <c r="R17" s="73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3"/>
      <c r="AE17" s="73"/>
      <c r="AF17" s="73"/>
      <c r="AG17" s="73"/>
      <c r="AH17" s="73"/>
      <c r="AI17" s="73"/>
      <c r="AJ17" s="73"/>
      <c r="AK17" s="73"/>
      <c r="AL17" s="73"/>
    </row>
    <row r="18" spans="3:38" ht="12" customHeight="1">
      <c r="C18" s="51" t="s">
        <v>23</v>
      </c>
      <c r="D18" s="54" t="str">
        <f>LOOKUP(D17,'BASE DE ESTUDIANTES'!E:E,'BASE DE ESTUDIANTES'!H:H)</f>
        <v>Tipo DNI</v>
      </c>
      <c r="E18" s="54"/>
      <c r="F18" s="51"/>
      <c r="G18" s="51"/>
      <c r="H18" s="51"/>
      <c r="I18" s="55"/>
      <c r="J18" s="51"/>
      <c r="K18" s="30"/>
      <c r="L18" s="29" t="s">
        <v>22</v>
      </c>
      <c r="M18" s="369" t="str">
        <f>LOOKUP(D17,'BASE DE ESTUDIANTES'!E:E,'BASE DE ESTUDIANTES'!D:D)</f>
        <v>Legajo</v>
      </c>
      <c r="N18" s="369"/>
      <c r="O18" s="27"/>
      <c r="P18" s="72" t="s">
        <v>90</v>
      </c>
      <c r="Q18" s="72"/>
      <c r="R18" s="73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3"/>
      <c r="AE18" s="73"/>
      <c r="AF18" s="73"/>
      <c r="AG18" s="73"/>
      <c r="AH18" s="73"/>
      <c r="AI18" s="73"/>
      <c r="AJ18" s="73"/>
      <c r="AK18" s="73"/>
      <c r="AL18" s="73"/>
    </row>
    <row r="19" spans="3:38" ht="12" customHeight="1">
      <c r="C19" s="51" t="s">
        <v>24</v>
      </c>
      <c r="D19" s="56" t="str">
        <f>LOOKUP(D17,'BASE DE ESTUDIANTES'!E:E,'BASE DE ESTUDIANTES'!I:I)</f>
        <v>Nro DNI</v>
      </c>
      <c r="E19" s="56"/>
      <c r="F19" s="51"/>
      <c r="G19" s="51"/>
      <c r="H19" s="51"/>
      <c r="I19" s="55"/>
      <c r="J19" s="51"/>
      <c r="K19" s="29"/>
      <c r="L19" s="28"/>
      <c r="M19" s="28"/>
      <c r="N19" s="28"/>
      <c r="O19" s="27"/>
      <c r="P19" s="72" t="s">
        <v>94</v>
      </c>
      <c r="Q19" s="72"/>
      <c r="R19" s="73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3"/>
      <c r="AE19" s="73"/>
      <c r="AF19" s="73"/>
      <c r="AG19" s="73"/>
      <c r="AH19" s="73"/>
      <c r="AI19" s="73"/>
      <c r="AJ19" s="73"/>
      <c r="AK19" s="73"/>
      <c r="AL19" s="73"/>
    </row>
    <row r="20" spans="3:38" ht="12" customHeight="1">
      <c r="C20" s="51" t="s">
        <v>25</v>
      </c>
      <c r="D20" s="366" t="str">
        <f>LOOKUP(D17,'BASE DE ESTUDIANTES'!E:E,'BASE DE ESTUDIANTES'!L:L)</f>
        <v>Fecha de Nac</v>
      </c>
      <c r="E20" s="366"/>
      <c r="F20" s="51"/>
      <c r="G20" s="51"/>
      <c r="H20" s="51"/>
      <c r="I20" s="55"/>
      <c r="J20" s="51"/>
      <c r="K20" s="27"/>
      <c r="L20" s="27"/>
      <c r="M20" s="27"/>
      <c r="N20" s="27"/>
      <c r="O20" s="27"/>
      <c r="P20" s="72"/>
      <c r="Q20" s="73"/>
      <c r="R20" s="73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3"/>
      <c r="AE20" s="73"/>
      <c r="AF20" s="73"/>
      <c r="AG20" s="73"/>
      <c r="AH20" s="73"/>
      <c r="AI20" s="73"/>
      <c r="AJ20" s="73"/>
      <c r="AK20" s="73"/>
      <c r="AL20" s="73"/>
    </row>
    <row r="21" spans="3:38" ht="12" customHeight="1">
      <c r="C21" s="51" t="s">
        <v>26</v>
      </c>
      <c r="D21" s="377" t="str">
        <f>LOOKUP(D17,'BASE DE ESTUDIANTES'!E:E,'BASE DE ESTUDIANTES'!N:N)</f>
        <v>Ciudad/Pueblo</v>
      </c>
      <c r="E21" s="377"/>
      <c r="F21" s="377"/>
      <c r="G21" s="377"/>
      <c r="H21" s="377"/>
      <c r="I21" s="377"/>
      <c r="J21" s="377"/>
      <c r="K21" s="377"/>
      <c r="L21" s="57" t="s">
        <v>10</v>
      </c>
      <c r="M21" s="369" t="str">
        <f>LOOKUP($D$17,'BASE DE ESTUDIANTES'!E:E,'BASE DE ESTUDIANTES'!AB:AB)</f>
        <v>Libro Matriz</v>
      </c>
      <c r="N21" s="369"/>
      <c r="O21" s="27"/>
      <c r="P21" s="73"/>
      <c r="Q21" s="73"/>
      <c r="R21" s="73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3"/>
      <c r="AE21" s="73"/>
      <c r="AF21" s="73"/>
      <c r="AG21" s="73"/>
      <c r="AH21" s="73"/>
      <c r="AI21" s="73"/>
      <c r="AJ21" s="73"/>
      <c r="AK21" s="73"/>
      <c r="AL21" s="73"/>
    </row>
    <row r="22" spans="3:38" ht="12" customHeight="1">
      <c r="C22" s="52" t="s">
        <v>79</v>
      </c>
      <c r="D22" s="377"/>
      <c r="E22" s="377"/>
      <c r="F22" s="377"/>
      <c r="G22" s="377"/>
      <c r="H22" s="377"/>
      <c r="I22" s="377"/>
      <c r="J22" s="377"/>
      <c r="K22" s="377"/>
      <c r="L22" s="57"/>
      <c r="M22" s="58"/>
      <c r="N22" s="58"/>
      <c r="O22" s="27"/>
      <c r="P22" s="72"/>
      <c r="Q22" s="73"/>
      <c r="R22" s="73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3"/>
      <c r="AE22" s="73"/>
      <c r="AF22" s="73"/>
      <c r="AG22" s="73"/>
      <c r="AH22" s="73"/>
      <c r="AI22" s="73"/>
      <c r="AJ22" s="73"/>
      <c r="AK22" s="73"/>
      <c r="AL22" s="73"/>
    </row>
    <row r="23" spans="3:38" ht="12" customHeight="1">
      <c r="C23" s="53" t="s">
        <v>27</v>
      </c>
      <c r="D23" s="54" t="str">
        <f>LOOKUP(D17,'BASE DE ESTUDIANTES'!E:E,'BASE DE ESTUDIANTES'!R:R)</f>
        <v>Telefono</v>
      </c>
      <c r="E23" s="54"/>
      <c r="F23" s="51"/>
      <c r="G23" s="51"/>
      <c r="H23" s="51"/>
      <c r="I23" s="55"/>
      <c r="J23" s="51"/>
      <c r="K23" s="31"/>
      <c r="L23" s="57" t="s">
        <v>9</v>
      </c>
      <c r="M23" s="369" t="str">
        <f>LOOKUP($D$17,'BASE DE ESTUDIANTES'!E:E,'BASE DE ESTUDIANTES'!AC:AC)</f>
        <v xml:space="preserve">N° DE ORDEN </v>
      </c>
      <c r="N23" s="369"/>
      <c r="O23" s="27"/>
      <c r="P23" s="74" t="s">
        <v>91</v>
      </c>
      <c r="Q23" s="73"/>
      <c r="R23" s="73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3"/>
      <c r="AE23" s="73"/>
      <c r="AF23" s="73"/>
      <c r="AG23" s="73"/>
      <c r="AH23" s="73"/>
      <c r="AI23" s="73"/>
      <c r="AJ23" s="73"/>
      <c r="AK23" s="73"/>
      <c r="AL23" s="73"/>
    </row>
    <row r="24" spans="3:38" ht="23.25" customHeight="1">
      <c r="C24" s="51" t="s">
        <v>28</v>
      </c>
      <c r="D24" s="367" t="str">
        <f>LOOKUP(D17,'BASE DE ESTUDIANTES'!E:E,'BASE DE ESTUDIANTES'!S:S)</f>
        <v>Tbase</v>
      </c>
      <c r="E24" s="367"/>
      <c r="F24" s="367"/>
      <c r="G24" s="367"/>
      <c r="H24" s="367"/>
      <c r="I24" s="367"/>
      <c r="J24" s="367"/>
      <c r="K24" s="367"/>
      <c r="L24" s="367"/>
      <c r="M24" s="43"/>
      <c r="N24" s="43"/>
      <c r="O24" s="27"/>
      <c r="P24" s="74" t="s">
        <v>88</v>
      </c>
      <c r="Q24" s="73"/>
      <c r="R24" s="73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3"/>
      <c r="AE24" s="73"/>
      <c r="AF24" s="73"/>
      <c r="AG24" s="73"/>
      <c r="AH24" s="73"/>
      <c r="AI24" s="73"/>
      <c r="AJ24" s="73"/>
      <c r="AK24" s="73"/>
      <c r="AL24" s="73"/>
    </row>
    <row r="25" spans="3:38" ht="23.25" customHeight="1" thickBot="1">
      <c r="C25" s="34"/>
      <c r="D25" s="368"/>
      <c r="E25" s="368"/>
      <c r="F25" s="368"/>
      <c r="G25" s="368"/>
      <c r="H25" s="368"/>
      <c r="I25" s="368"/>
      <c r="J25" s="368"/>
      <c r="K25" s="368"/>
      <c r="L25" s="368"/>
      <c r="M25" s="44"/>
      <c r="N25" s="44"/>
      <c r="O25" s="34"/>
      <c r="P25" s="75" t="s">
        <v>87</v>
      </c>
      <c r="Q25" s="73"/>
      <c r="R25" s="73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3"/>
      <c r="AE25" s="73"/>
      <c r="AF25" s="73"/>
      <c r="AG25" s="73"/>
      <c r="AH25" s="73"/>
      <c r="AI25" s="73"/>
      <c r="AJ25" s="73"/>
      <c r="AK25" s="73"/>
      <c r="AL25" s="73"/>
    </row>
    <row r="26" spans="3:38" ht="14.25" customHeight="1">
      <c r="P26" s="73"/>
      <c r="Q26" s="73"/>
      <c r="R26" s="73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</row>
    <row r="27" spans="3:38" ht="14.25" customHeight="1">
      <c r="C27" s="376" t="str">
        <f>IF(LOOKUP($D$15,TITULOS,TIPOS)="","",LOOKUP($D$15,TITULOS,TIPOS))</f>
        <v>Certifico que el/la estudiante mencionado/a cursa en carácter de REGULAR, la Tecnicatura Superior en Desarrollo de Software (Res 462/12)  y ha aprobado los espacios curriculares que se detallan a continuación:</v>
      </c>
      <c r="D27" s="376"/>
      <c r="E27" s="376"/>
      <c r="F27" s="376"/>
      <c r="G27" s="376"/>
      <c r="H27" s="376"/>
      <c r="I27" s="376"/>
      <c r="J27" s="376"/>
      <c r="K27" s="376"/>
      <c r="L27" s="376"/>
      <c r="M27" s="376"/>
      <c r="N27" s="376"/>
      <c r="P27" s="73"/>
      <c r="Q27" s="73"/>
      <c r="R27" s="73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</row>
    <row r="28" spans="3:38" ht="14.25" customHeight="1">
      <c r="C28" s="376"/>
      <c r="D28" s="376"/>
      <c r="E28" s="376"/>
      <c r="F28" s="376"/>
      <c r="G28" s="376"/>
      <c r="H28" s="376"/>
      <c r="I28" s="376"/>
      <c r="J28" s="376"/>
      <c r="K28" s="376"/>
      <c r="L28" s="376"/>
      <c r="M28" s="376"/>
      <c r="N28" s="376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</row>
    <row r="29" spans="3:38" ht="14.25" customHeight="1"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</row>
    <row r="30" spans="3:38" ht="15" customHeight="1">
      <c r="C30" s="355" t="s">
        <v>57</v>
      </c>
      <c r="D30" s="356"/>
      <c r="E30" s="356"/>
      <c r="F30" s="356"/>
      <c r="G30" s="356"/>
      <c r="H30" s="356"/>
      <c r="I30" s="356"/>
      <c r="J30" s="356"/>
      <c r="K30" s="356"/>
      <c r="L30" s="357"/>
      <c r="M30" s="362" t="s">
        <v>58</v>
      </c>
      <c r="N30" s="362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</row>
    <row r="31" spans="3:38" ht="15" customHeight="1">
      <c r="C31" s="358" t="s">
        <v>59</v>
      </c>
      <c r="D31" s="359"/>
      <c r="E31" s="357" t="s">
        <v>16</v>
      </c>
      <c r="F31" s="362"/>
      <c r="G31" s="362" t="s">
        <v>15</v>
      </c>
      <c r="H31" s="362"/>
      <c r="I31" s="362" t="s">
        <v>80</v>
      </c>
      <c r="J31" s="362"/>
      <c r="K31" s="362"/>
      <c r="L31" s="69" t="s">
        <v>60</v>
      </c>
      <c r="M31" s="370" t="s">
        <v>61</v>
      </c>
      <c r="N31" s="371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</row>
    <row r="32" spans="3:38" ht="15" customHeight="1">
      <c r="C32" s="360"/>
      <c r="D32" s="361"/>
      <c r="E32" s="70" t="s">
        <v>21</v>
      </c>
      <c r="F32" s="69" t="s">
        <v>17</v>
      </c>
      <c r="G32" s="69" t="s">
        <v>13</v>
      </c>
      <c r="H32" s="69" t="s">
        <v>14</v>
      </c>
      <c r="I32" s="69" t="s">
        <v>18</v>
      </c>
      <c r="J32" s="69" t="s">
        <v>19</v>
      </c>
      <c r="K32" s="69" t="s">
        <v>20</v>
      </c>
      <c r="L32" s="69" t="s">
        <v>62</v>
      </c>
      <c r="M32" s="372" t="s">
        <v>78</v>
      </c>
      <c r="N32" s="372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</row>
    <row r="33" spans="3:29" ht="16.5" customHeight="1">
      <c r="C33" s="353" t="s">
        <v>242</v>
      </c>
      <c r="D33" s="354" t="s">
        <v>242</v>
      </c>
      <c r="E33" s="67" t="str">
        <f ca="1">IF(LOOKUP($D$17,'BASE DE ESTUDIANTES'!E:E,Tabla5[[#All],[Nota N°]])="","",LOOKUP($D$17,'BASE DE ESTUDIANTES'!E:E,Tabla5[[#All],[Nota N°]]))</f>
        <v>Nota N°</v>
      </c>
      <c r="F33" s="67" t="str">
        <f ca="1">IF(LOOKUP($D$17,'BASE DE ESTUDIANTES'!F:F,Tabla5[[#All],[Letras]])="","",LOOKUP($D$17,'BASE DE ESTUDIANTES'!F:F,Tabla5[[#All],[Letras]]))</f>
        <v/>
      </c>
      <c r="G33" s="67" t="str">
        <f ca="1">IF(LOOKUP($D$17,'BASE DE ESTUDIANTES'!E:E,Tabla5[[#All],[Libro]])="","",LOOKUP($D$17,'BASE DE ESTUDIANTES'!E:E,Tabla5[[#All],[Libro]]))</f>
        <v>Libro</v>
      </c>
      <c r="H33" s="67" t="str">
        <f ca="1">IF(LOOKUP($D$17,'BASE DE ESTUDIANTES'!E:E,Tabla5[[#All],[Folio]])="","",LOOKUP($D$17,'BASE DE ESTUDIANTES'!E:E,Tabla5[[#All],[Folio]]))</f>
        <v>Folio</v>
      </c>
      <c r="I33" s="67" t="e">
        <f ca="1">IF(LOOKUP($D$17,'BASE DE ESTUDIANTES'!E:E,Tabla5[[#All],[Fecha]])="","-",LOOKUP($D$17,'BASE DE ESTUDIANTES'!E:E,DAY(Tabla5[[#All],[Fecha]])))</f>
        <v>#VALUE!</v>
      </c>
      <c r="J33" s="67" t="str">
        <f ca="1">IF(LOOKUP($D$17,'BASE DE ESTUDIANTES'!F:F,Tabla5[[#All],[Fecha]])="","-",LOOKUP($D$17,'BASE DE ESTUDIANTES'!F:F,MONTH(Tabla5[[#All],[Fecha]])))</f>
        <v>-</v>
      </c>
      <c r="K33" s="67" t="e">
        <f ca="1">IF(LOOKUP($D$17,'BASE DE ESTUDIANTES'!E:E,Tabla5[[#All],[Fecha]])="","-",LOOKUP($D$17,'BASE DE ESTUDIANTES'!E:E,YEAR(Tabla5[[#All],[Fecha]])))</f>
        <v>#VALUE!</v>
      </c>
      <c r="L33" s="68" t="str">
        <f ca="1">LOOKUP($D$17,'BASE DE ESTUDIANTES'!E:E,Tabla5[[#All],[Texa]])</f>
        <v>Texa</v>
      </c>
      <c r="M33" s="363">
        <f ca="1">LOOKUP($D$17,'BASE DE ESTUDIANTES'!E:E,'MATERIAS '!P1:P57)</f>
        <v>0</v>
      </c>
      <c r="N33" s="364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</row>
    <row r="34" spans="3:29" ht="16.5" customHeight="1">
      <c r="C34" s="351" t="s">
        <v>706</v>
      </c>
      <c r="D34" s="351" t="s">
        <v>706</v>
      </c>
      <c r="E34" s="67" t="str">
        <f ca="1">IF(LOOKUP($D$17,'BASE DE ESTUDIANTES'!E:E,Tabla5[[#All],[Nota N°5]])="","",LOOKUP($D$17,'BASE DE ESTUDIANTES'!E:E,Tabla5[[#All],[Nota N°5]]))</f>
        <v>Nota N°5</v>
      </c>
      <c r="F34" s="67" t="str">
        <f ca="1">IF(LOOKUP($D$17,'BASE DE ESTUDIANTES'!F:F,Tabla5[[#All],[Letras6]])="","",LOOKUP($D$17,'BASE DE ESTUDIANTES'!F:F,Tabla5[[#All],[Letras6]]))</f>
        <v/>
      </c>
      <c r="G34" s="67" t="str">
        <f ca="1">IF(LOOKUP($D$17,'BASE DE ESTUDIANTES'!E:E,Tabla5[[#All],[Libro2]])="","",LOOKUP($D$17,'BASE DE ESTUDIANTES'!E:E,Tabla5[[#All],[Libro2]]))</f>
        <v>Libro2</v>
      </c>
      <c r="H34" s="67" t="str">
        <f ca="1">IF(LOOKUP($D$17,'BASE DE ESTUDIANTES'!E:E,Tabla5[[#All],[Folio3]])="","",LOOKUP($D$17,'BASE DE ESTUDIANTES'!E:E,Tabla5[[#All],[Folio3]]))</f>
        <v>Folio3</v>
      </c>
      <c r="I34" s="287" t="str">
        <f ca="1">IF(LOOKUP($D$17,'BASE DE ESTUDIANTES'!E:E,Tabla5[[#All],[Fecha4]])="","",LOOKUP($D$17,'BASE DE ESTUDIANTES'!E:E,Tabla5[[#All],[Fecha4]]))</f>
        <v>Fecha4</v>
      </c>
      <c r="J34" s="67" t="str">
        <f ca="1">IF(LOOKUP($D$17,'BASE DE ESTUDIANTES'!F:F,Tabla5[Fecha4])="","-",LOOKUP($D$17,'BASE DE ESTUDIANTES'!F:F,MONTH(Tabla5[Fecha4])))</f>
        <v>-</v>
      </c>
      <c r="K34" s="286" t="str">
        <f ca="1">IF(LOOKUP($D$17,'BASE DE ESTUDIANTES'!E:E,Tabla5[Fecha4])="","",LOOKUP($D$17,'BASE DE ESTUDIANTES'!E:E,Tabla5[Fecha4]))</f>
        <v/>
      </c>
      <c r="L34" s="68" t="str">
        <f ca="1">LOOKUP($D$17,'BASE DE ESTUDIANTES'!E:E,Tabla5[[#All],[Texa7]])</f>
        <v>Texa7</v>
      </c>
      <c r="M34" s="363" t="str">
        <f ca="1">LOOKUP($D$17,'BASE DE ESTUDIANTES'!E:E,'MATERIAS '!X2:X58)</f>
        <v>Sede2</v>
      </c>
      <c r="N34" s="364"/>
      <c r="P34" s="15"/>
      <c r="T34" s="76"/>
    </row>
    <row r="35" spans="3:29" ht="16.5" customHeight="1">
      <c r="C35" s="351" t="s">
        <v>52</v>
      </c>
      <c r="D35" s="351" t="s">
        <v>52</v>
      </c>
      <c r="E35" s="67">
        <f ca="1">IF(LOOKUP($D$17,'BASE DE ESTUDIANTES'!E:E,Tabla5[[#All],[Nota N°17]])="","",LOOKUP($D$17,'BASE DE ESTUDIANTES'!E:E,Tabla5[Nota N°17]))</f>
        <v>0</v>
      </c>
      <c r="F35" s="67" t="str">
        <f ca="1">IF(LOOKUP($D$17,'BASE DE ESTUDIANTES'!F:F,Tabla5[[#All],[Letras18]])="","",LOOKUP($D$17,'BASE DE ESTUDIANTES'!F:F,Tabla5[[#All],[Letras18]]))</f>
        <v/>
      </c>
      <c r="G35" s="67" t="str">
        <f ca="1">IF(LOOKUP($D$17,'BASE DE ESTUDIANTES'!E:E,Tabla5[[#All],[Libro14]])="","",LOOKUP($D$17,'BASE DE ESTUDIANTES'!E:E,Tabla5[[#All],[Libro14]]))</f>
        <v>Libro14</v>
      </c>
      <c r="H35" s="67" t="str">
        <f ca="1">IF(LOOKUP($D$17,'BASE DE ESTUDIANTES'!E:E,Tabla5[[#All],[Folio15]])="","",LOOKUP($D$17,'BASE DE ESTUDIANTES'!E:E,Tabla5[[#All],[Folio15]]))</f>
        <v>Folio15</v>
      </c>
      <c r="I35" s="287" t="str">
        <f ca="1">IF(LOOKUP($D$17,'BASE DE ESTUDIANTES'!E:E,Tabla5[[#All],[Fecha16]])="","",LOOKUP($D$17,'BASE DE ESTUDIANTES'!E:E,Tabla5[[#All],[Fecha16]]))</f>
        <v>Fecha16</v>
      </c>
      <c r="J35" s="67" t="str">
        <f ca="1">IF(LOOKUP($D$17,'BASE DE ESTUDIANTES'!F:F,Tabla5[Fecha16])="","-",LOOKUP($D$17,'BASE DE ESTUDIANTES'!F:F,MONTH(Tabla5[Fecha16])))</f>
        <v>-</v>
      </c>
      <c r="K35" s="286" t="str">
        <f ca="1">IF(LOOKUP($D$17,'BASE DE ESTUDIANTES'!E:E,Tabla5[Fecha4])="","",LOOKUP($D$17,'BASE DE ESTUDIANTES'!E:E,Tabla5[Fecha4]))</f>
        <v/>
      </c>
      <c r="L35" s="68" t="str">
        <f ca="1">LOOKUP($D$17,'BASE DE ESTUDIANTES'!E:E,Tabla5[[#All],[Texa19]])</f>
        <v>Texa19</v>
      </c>
      <c r="M35" s="363">
        <f ca="1">LOOKUP($D$17,'BASE DE ESTUDIANTES'!E:E,'MATERIAS '!AF3:AF59)</f>
        <v>0</v>
      </c>
      <c r="N35" s="364"/>
      <c r="P35" s="15"/>
      <c r="T35" s="76"/>
    </row>
    <row r="36" spans="3:29" ht="16.5" customHeight="1">
      <c r="C36" s="351" t="s">
        <v>707</v>
      </c>
      <c r="D36" s="351" t="s">
        <v>707</v>
      </c>
      <c r="E36" s="67" t="str">
        <f ca="1">IF(LOOKUP($D$17,'BASE DE ESTUDIANTES'!E:E,Tabla5[[#All],[Nota N°11]])="","",LOOKUP($D$17,'BASE DE ESTUDIANTES'!E:E,Tabla5[[#All],[Nota N°11]]))</f>
        <v>Nota N°11</v>
      </c>
      <c r="F36" s="67" t="str">
        <f ca="1">IF(LOOKUP($D$17,'BASE DE ESTUDIANTES'!E:E,Tabla5[[#All],[Letras12]])="","",LOOKUP($D$17,'BASE DE ESTUDIANTES'!E:E,Tabla5[[#All],[Letras12]]))</f>
        <v>Letras12</v>
      </c>
      <c r="G36" s="67" t="str">
        <f ca="1">IF(LOOKUP($D$17,'BASE DE ESTUDIANTES'!E:E,Tabla5[[#All],[Libro8]])="","",LOOKUP($D$17,'BASE DE ESTUDIANTES'!E:E,Tabla5[[#All],[Libro]]))</f>
        <v>Libro</v>
      </c>
      <c r="H36" s="67" t="str">
        <f ca="1">IF(LOOKUP($D$17,'BASE DE ESTUDIANTES'!E:E,Tabla5[[#All],[Folio9]])="","",LOOKUP($D$17,'BASE DE ESTUDIANTES'!E:E,Tabla5[[#All],[Folio9]]))</f>
        <v>Folio9</v>
      </c>
      <c r="I36" s="287" t="str">
        <f ca="1">IF(LOOKUP($D$17,'BASE DE ESTUDIANTES'!E:E,Tabla5[[#All],[Fecha10]])="","",LOOKUP($D$17,'BASE DE ESTUDIANTES'!E:E,Tabla5[[#All],[Fecha10]]))</f>
        <v>Fecha10</v>
      </c>
      <c r="J36" s="67" t="str">
        <f ca="1">IF(LOOKUP($D$17,'BASE DE ESTUDIANTES'!F:F,Tabla5[Fecha10])="","-",LOOKUP($D$17,'BASE DE ESTUDIANTES'!F:F,MONTH(Tabla5[Fecha10])))</f>
        <v>-</v>
      </c>
      <c r="K36" s="286" t="str">
        <f ca="1">IF(LOOKUP($D$17,'BASE DE ESTUDIANTES'!E:E,Tabla5[Fecha10])="","",LOOKUP($D$17,'BASE DE ESTUDIANTES'!E:E,Tabla5[Fecha10]))</f>
        <v/>
      </c>
      <c r="L36" s="68" t="str">
        <f ca="1">LOOKUP($D$17,'BASE DE ESTUDIANTES'!E:E,Tabla5[[#All],[Texa13]])</f>
        <v>Texa13</v>
      </c>
      <c r="M36" s="363">
        <f ca="1">LOOKUP($D$17,'BASE DE ESTUDIANTES'!E:E,'MATERIAS '!AN1:AN57)</f>
        <v>0</v>
      </c>
      <c r="N36" s="364"/>
      <c r="P36" s="15"/>
    </row>
    <row r="37" spans="3:29" ht="16.5" customHeight="1">
      <c r="C37" s="351" t="s">
        <v>709</v>
      </c>
      <c r="D37" s="351" t="s">
        <v>709</v>
      </c>
      <c r="E37" s="67" t="str">
        <f ca="1">IF(LOOKUP($D$17,'BASE DE ESTUDIANTES'!E:E,Tabla5[[#All],[Nota N°23]])="","",LOOKUP($D$17,'BASE DE ESTUDIANTES'!E:E,Tabla5[[#All],[Nota N°23]]))</f>
        <v>Nota N°23</v>
      </c>
      <c r="F37" s="67" t="str">
        <f ca="1">IF(LOOKUP($D$17,'BASE DE ESTUDIANTES'!F:F,Tabla5[[#All],[Letras24]])="","",LOOKUP($D$17,'BASE DE ESTUDIANTES'!F:F,Tabla5[[#All],[Letras24]]))</f>
        <v/>
      </c>
      <c r="G37" s="67" t="str">
        <f ca="1">IF(LOOKUP($D$17,'BASE DE ESTUDIANTES'!E:E,Tabla5[[#All],[Libro20]])="","",LOOKUP($D$17,'BASE DE ESTUDIANTES'!E:E,Tabla5[[#All],[Libro20]]))</f>
        <v>Libro20</v>
      </c>
      <c r="H37" s="67" t="str">
        <f ca="1">IF(LOOKUP($D$17,'BASE DE ESTUDIANTES'!E:E,Tabla5[[#All],[Folio21]])="","",LOOKUP($D$17,'BASE DE ESTUDIANTES'!E:E,Tabla5[[#All],[Folio21]]))</f>
        <v>Folio21</v>
      </c>
      <c r="I37" s="287" t="str">
        <f ca="1">IF(LOOKUP($D$17,'BASE DE ESTUDIANTES'!E:E,Tabla5[Fecha22])="","-",LOOKUP($D$17,'BASE DE ESTUDIANTES'!E:E,DAY(Tabla5[Fecha22])))</f>
        <v>-</v>
      </c>
      <c r="J37" s="67" t="str">
        <f ca="1">IF(LOOKUP($D$17,'BASE DE ESTUDIANTES'!F:F,Tabla5[Fecha22])="","-",LOOKUP($D$17,'BASE DE ESTUDIANTES'!F:F,MONTH(Tabla5[Fecha22])))</f>
        <v>-</v>
      </c>
      <c r="K37" s="286" t="str">
        <f ca="1">IF(LOOKUP($D$17,'BASE DE ESTUDIANTES'!E:E,Tabla5[Fecha22])="","-",LOOKUP($D$17,'BASE DE ESTUDIANTES'!E:E,YEAR(Tabla5[Fecha22])))</f>
        <v>-</v>
      </c>
      <c r="L37" s="68" t="str">
        <f ca="1">LOOKUP($D$17,'BASE DE ESTUDIANTES'!E:E,Tabla5[[#All],[Texa31]])</f>
        <v>Texa31</v>
      </c>
      <c r="M37" s="363" t="str">
        <f ca="1">LOOKUP($D$17,'BASE DE ESTUDIANTES'!E:E,'MATERIAS '!AV2:AV58)</f>
        <v>Sede5</v>
      </c>
      <c r="N37" s="364"/>
      <c r="P37" s="15"/>
    </row>
    <row r="38" spans="3:29" ht="16.5" customHeight="1">
      <c r="C38" s="351" t="s">
        <v>708</v>
      </c>
      <c r="D38" s="351" t="s">
        <v>708</v>
      </c>
      <c r="E38" s="67" t="str">
        <f ca="1">IF(LOOKUP($D$17,'BASE DE ESTUDIANTES'!E:E,Tabla5[[#All],[Nota N°29]])="","",LOOKUP($D$17,'BASE DE ESTUDIANTES'!E:E,Tabla5[[#All],[Nota N°29]]))</f>
        <v>Nota N°29</v>
      </c>
      <c r="F38" s="67" t="str">
        <f ca="1">IF(LOOKUP($D$17,'BASE DE ESTUDIANTES'!F:F,Tabla5[[#All],[Letras30]])="","",LOOKUP($D$17,'BASE DE ESTUDIANTES'!F:F,Tabla5[[#All],[Letras30]]))</f>
        <v/>
      </c>
      <c r="G38" s="67" t="str">
        <f ca="1">IF(LOOKUP($D$17,'BASE DE ESTUDIANTES'!E:E,Tabla5[[#All],[Libro26]])="","",LOOKUP($D$17,'BASE DE ESTUDIANTES'!E:E,Tabla5[[#All],[Libro26]]))</f>
        <v>Libro26</v>
      </c>
      <c r="H38" s="67" t="str">
        <f ca="1">IF(LOOKUP($D$17,'BASE DE ESTUDIANTES'!E:E,Tabla5[[#All],[Folio27]])="","",LOOKUP($D$17,'BASE DE ESTUDIANTES'!E:E,Tabla5[[#All],[Folio27]]))</f>
        <v>Folio27</v>
      </c>
      <c r="I38" s="287" t="str">
        <f ca="1">IF(LOOKUP($D$17,'BASE DE ESTUDIANTES'!E:E,Tabla5[Fecha28])="","-",LOOKUP($D$17,'BASE DE ESTUDIANTES'!E:E,DAY(Tabla5[Fecha28])))</f>
        <v>-</v>
      </c>
      <c r="J38" s="67" t="str">
        <f ca="1">IF(LOOKUP($D$17,'BASE DE ESTUDIANTES'!F:F,Tabla5[Fecha28])="","-",LOOKUP($D$17,'BASE DE ESTUDIANTES'!F:F,MONTH(Tabla5[Fecha28])))</f>
        <v>-</v>
      </c>
      <c r="K38" s="286" t="str">
        <f ca="1">IF(LOOKUP($D$17,'BASE DE ESTUDIANTES'!E:E,Tabla5[Fecha28])="","-",LOOKUP($D$17,'BASE DE ESTUDIANTES'!E:E,YEAR(Tabla5[Fecha28])))</f>
        <v>-</v>
      </c>
      <c r="L38" s="68" t="str">
        <f ca="1">LOOKUP($D$17,'BASE DE ESTUDIANTES'!E:E,Tabla5[[#All],[Texa31]])</f>
        <v>Texa31</v>
      </c>
      <c r="M38" s="363">
        <f ca="1">LOOKUP($D$17,'BASE DE ESTUDIANTES'!E:E,'MATERIAS '!BD3:BD59)</f>
        <v>0</v>
      </c>
      <c r="N38" s="364"/>
      <c r="P38" s="15"/>
    </row>
    <row r="39" spans="3:29" ht="16.5" customHeight="1">
      <c r="C39" s="351" t="s">
        <v>664</v>
      </c>
      <c r="D39" s="351" t="s">
        <v>664</v>
      </c>
      <c r="E39" s="67" t="str">
        <f ca="1">IF(LOOKUP($D$17,'BASE DE ESTUDIANTES'!E:E,Tabla5[[#All],[Nota N°115]])="","",LOOKUP($D$17,'BASE DE ESTUDIANTES'!E:E,Tabla5[[#All],[Nota N°115]]))</f>
        <v>Nota N°115</v>
      </c>
      <c r="F39" s="67" t="str">
        <f ca="1">IF(LOOKUP($D$17,'BASE DE ESTUDIANTES'!F:F,Tabla5[[#All],[Letras126]])="","",LOOKUP($D$17,'BASE DE ESTUDIANTES'!F:F,Tabla5[[#All],[Letras126]]))</f>
        <v/>
      </c>
      <c r="G39" s="67" t="str">
        <f ca="1">IF(LOOKUP($D$17,'BASE DE ESTUDIANTES'!E:E,Tabla5[[#All],[Libro82]])="","",LOOKUP($D$17,'BASE DE ESTUDIANTES'!E:E,Tabla5[[#All],[Libro82]]))</f>
        <v>Libro82</v>
      </c>
      <c r="H39" s="67" t="str">
        <f ca="1">IF(LOOKUP($D$17,'BASE DE ESTUDIANTES'!E:E,Tabla5[[#All],[Folio93]])="","",LOOKUP($D$17,'BASE DE ESTUDIANTES'!E:E,Tabla5[[#All],[Folio93]]))</f>
        <v>Folio93</v>
      </c>
      <c r="I39" s="287" t="str">
        <f ca="1">IF(LOOKUP($D$17,'BASE DE ESTUDIANTES'!E:E,Tabla5[[#All],[Fecha104]])="","",LOOKUP($D$17,'BASE DE ESTUDIANTES'!E:E,Tabla5[[#All],[Fecha104]]))</f>
        <v>Fecha104</v>
      </c>
      <c r="J39" s="67" t="str">
        <f ca="1">IF(LOOKUP($D$17,'BASE DE ESTUDIANTES'!F:F,Tabla5[Fecha104])="","-",LOOKUP($D$17,'BASE DE ESTUDIANTES'!F:F,MONTH(Tabla5[Fecha104])))</f>
        <v>-</v>
      </c>
      <c r="K39" s="286" t="str">
        <f ca="1">IF(LOOKUP($D$17,'BASE DE ESTUDIANTES'!E:E,Tabla5[Fecha4])="","",LOOKUP($D$17,'BASE DE ESTUDIANTES'!E:E,Tabla5[Fecha4]))</f>
        <v/>
      </c>
      <c r="L39" s="68" t="str">
        <f ca="1">LOOKUP($D$17,'BASE DE ESTUDIANTES'!E:E,Tabla5[[#All],[Texa19]])</f>
        <v>Texa19</v>
      </c>
      <c r="M39" s="363">
        <f ca="1">LOOKUP($D$17,'BASE DE ESTUDIANTES'!E:E,'MATERIAS '!BL4:BL60)</f>
        <v>0</v>
      </c>
      <c r="N39" s="364"/>
      <c r="P39" s="15"/>
    </row>
    <row r="40" spans="3:29" ht="16.5" customHeight="1">
      <c r="C40" s="351" t="s">
        <v>710</v>
      </c>
      <c r="D40" s="351" t="s">
        <v>710</v>
      </c>
      <c r="E40" s="67" t="str">
        <f ca="1">IF(LOOKUP($D$17,'BASE DE ESTUDIANTES'!E:E,Tabla5[[#All],[Nota N°2312]])="","",LOOKUP($D$17,'BASE DE ESTUDIANTES'!E:E,Tabla5[[#All],[Nota N°2312]]))</f>
        <v>Nota N°2312</v>
      </c>
      <c r="F40" s="67" t="str">
        <f ca="1">IF(LOOKUP($D$17,'BASE DE ESTUDIANTES'!F:F,Tabla5[[#All],[Letras2413]])="","",LOOKUP($D$17,'BASE DE ESTUDIANTES'!F:F,Tabla5[[#All],[Letras2413]]))</f>
        <v/>
      </c>
      <c r="G40" s="67" t="str">
        <f ca="1">IF(LOOKUP($D$17,'BASE DE ESTUDIANTES'!E:E,Tabla5[[#All],[Libro209]])="","",LOOKUP($D$17,'BASE DE ESTUDIANTES'!E:E,Tabla5[[#All],[Libro209]]))</f>
        <v>Libro209</v>
      </c>
      <c r="H40" s="67" t="str">
        <f ca="1">IF(LOOKUP($D$17,'BASE DE ESTUDIANTES'!E:E,Tabla5[[#All],[Folio2110]])="","",LOOKUP($D$17,'BASE DE ESTUDIANTES'!E:E,Tabla5[[#All],[Folio2110]]))</f>
        <v>Folio2110</v>
      </c>
      <c r="I40" s="287" t="str">
        <f ca="1">IF(LOOKUP($D$17,'BASE DE ESTUDIANTES'!E:E,Tabla5[[#All],[Fecha2211]])="","",LOOKUP($D$17,'BASE DE ESTUDIANTES'!E:E,Tabla5[[#All],[Fecha2211]]))</f>
        <v>Fecha2211</v>
      </c>
      <c r="J40" s="67" t="str">
        <f ca="1">IF(LOOKUP($D$17,'BASE DE ESTUDIANTES'!F:F,Tabla5[Fecha2211])="","-",LOOKUP($D$17,'BASE DE ESTUDIANTES'!F:F,MONTH(Tabla5[Fecha2211])))</f>
        <v>-</v>
      </c>
      <c r="K40" s="286" t="str">
        <f ca="1">IF(LOOKUP($D$17,'BASE DE ESTUDIANTES'!E:E,Tabla5[Fecha4])="","",LOOKUP($D$17,'BASE DE ESTUDIANTES'!E:E,Tabla5[Fecha4]))</f>
        <v/>
      </c>
      <c r="L40" s="68" t="str">
        <f ca="1">LOOKUP($D$17,'BASE DE ESTUDIANTES'!E:E,Tabla5[[#All],[Texa2514]])</f>
        <v>Texa2514</v>
      </c>
      <c r="M40" s="363">
        <f ca="1">LOOKUP($D$17,'BASE DE ESTUDIANTES'!E:E,'MATERIAS '!BT5:BT61)</f>
        <v>0</v>
      </c>
      <c r="N40" s="364"/>
      <c r="P40" s="15"/>
    </row>
    <row r="41" spans="3:29" ht="16.5" customHeight="1">
      <c r="C41" s="351" t="s">
        <v>711</v>
      </c>
      <c r="D41" s="351" t="s">
        <v>711</v>
      </c>
      <c r="E41" s="67" t="str">
        <f ca="1">IF(LOOKUP($D$17,'BASE DE ESTUDIANTES'!E:E,Tabla5[[#All],[Nota N°23125]])="","",LOOKUP($D$17,'BASE DE ESTUDIANTES'!E:E,Tabla5[[#All],[Nota N°23125]]))</f>
        <v>Nota N°23125</v>
      </c>
      <c r="F41" s="67" t="str">
        <f ca="1">IF(LOOKUP($D$17,'BASE DE ESTUDIANTES'!F:F,Tabla5[[#All],[Letras24132]])="","",LOOKUP($D$17,'BASE DE ESTUDIANTES'!F:F,Tabla5[[#All],[Letras24132]]))</f>
        <v/>
      </c>
      <c r="G41" s="67" t="str">
        <f ca="1">IF(LOOKUP($D$17,'BASE DE ESTUDIANTES'!E:E,Tabla5[[#All],[Libro2092]])="","",LOOKUP($D$17,'BASE DE ESTUDIANTES'!E:E,Tabla5[[#All],[Libro2092]]))</f>
        <v>Libro2092</v>
      </c>
      <c r="H41" s="67" t="str">
        <f ca="1">IF(LOOKUP($D$17,'BASE DE ESTUDIANTES'!E:E,Tabla5[[#All],[Folio21103]])="","",LOOKUP($D$17,'BASE DE ESTUDIANTES'!E:E,Tabla5[[#All],[Folio21103]]))</f>
        <v>Folio21103</v>
      </c>
      <c r="I41" s="287" t="str">
        <f ca="1">IF(LOOKUP($D$17,'BASE DE ESTUDIANTES'!E:E,Tabla5[[#All],[Fecha4]])="","",LOOKUP($D$17,'BASE DE ESTUDIANTES'!E:E,Tabla5[[#All],[Fecha4]]))</f>
        <v>Fecha4</v>
      </c>
      <c r="J41" s="67" t="str">
        <f ca="1">IF(LOOKUP($D$17,'BASE DE ESTUDIANTES'!F:F,Tabla5[Fecha22114])="","-",LOOKUP($D$17,'BASE DE ESTUDIANTES'!F:F,MONTH(Tabla5[Fecha22114])))</f>
        <v>-</v>
      </c>
      <c r="K41" s="286" t="str">
        <f ca="1">IF(LOOKUP($D$17,'BASE DE ESTUDIANTES'!E:E,Tabla5[Fecha4])="","",LOOKUP($D$17,'BASE DE ESTUDIANTES'!E:E,Tabla5[Fecha4]))</f>
        <v/>
      </c>
      <c r="L41" s="68" t="str">
        <f ca="1">LOOKUP($D$17,'BASE DE ESTUDIANTES'!E:E,Tabla5[[#All],[Texa19]])</f>
        <v>Texa19</v>
      </c>
      <c r="M41" s="363">
        <f ca="1">LOOKUP($D$17,'BASE DE ESTUDIANTES'!E:E,'MATERIAS '!CB6:CB62)</f>
        <v>0</v>
      </c>
      <c r="N41" s="364"/>
      <c r="P41" s="15"/>
    </row>
    <row r="42" spans="3:29" ht="15" customHeight="1">
      <c r="C42" s="355" t="s">
        <v>66</v>
      </c>
      <c r="D42" s="356"/>
      <c r="E42" s="356"/>
      <c r="F42" s="356"/>
      <c r="G42" s="356"/>
      <c r="H42" s="356"/>
      <c r="I42" s="356"/>
      <c r="J42" s="356"/>
      <c r="K42" s="356"/>
      <c r="L42" s="357"/>
      <c r="M42" s="362" t="s">
        <v>58</v>
      </c>
      <c r="N42" s="362"/>
      <c r="P42" s="15"/>
    </row>
    <row r="43" spans="3:29" ht="15" customHeight="1">
      <c r="C43" s="358" t="s">
        <v>59</v>
      </c>
      <c r="D43" s="359"/>
      <c r="E43" s="357" t="s">
        <v>16</v>
      </c>
      <c r="F43" s="362"/>
      <c r="G43" s="362" t="s">
        <v>15</v>
      </c>
      <c r="H43" s="362"/>
      <c r="I43" s="362" t="s">
        <v>80</v>
      </c>
      <c r="J43" s="362"/>
      <c r="K43" s="362"/>
      <c r="L43" s="69" t="s">
        <v>60</v>
      </c>
      <c r="M43" s="370" t="s">
        <v>61</v>
      </c>
      <c r="N43" s="371"/>
      <c r="P43" s="16"/>
    </row>
    <row r="44" spans="3:29" ht="15" customHeight="1">
      <c r="C44" s="360"/>
      <c r="D44" s="361"/>
      <c r="E44" s="70" t="s">
        <v>21</v>
      </c>
      <c r="F44" s="69" t="s">
        <v>17</v>
      </c>
      <c r="G44" s="69" t="s">
        <v>13</v>
      </c>
      <c r="H44" s="69" t="s">
        <v>14</v>
      </c>
      <c r="I44" s="69" t="s">
        <v>18</v>
      </c>
      <c r="J44" s="69" t="s">
        <v>19</v>
      </c>
      <c r="K44" s="69" t="s">
        <v>20</v>
      </c>
      <c r="L44" s="69" t="s">
        <v>62</v>
      </c>
      <c r="M44" s="372" t="s">
        <v>78</v>
      </c>
      <c r="N44" s="372"/>
      <c r="P44" s="16"/>
    </row>
    <row r="45" spans="3:29" ht="16.5" customHeight="1">
      <c r="C45" s="351" t="s">
        <v>712</v>
      </c>
      <c r="D45" s="351" t="s">
        <v>712</v>
      </c>
      <c r="E45" s="67"/>
      <c r="F45" s="68"/>
      <c r="G45" s="68"/>
      <c r="H45" s="68"/>
      <c r="I45" s="68"/>
      <c r="J45" s="68"/>
      <c r="K45" s="68"/>
      <c r="L45" s="68"/>
      <c r="M45" s="373"/>
      <c r="N45" s="374"/>
      <c r="P45" s="16"/>
    </row>
    <row r="46" spans="3:29" ht="16.5" customHeight="1">
      <c r="C46" s="351" t="s">
        <v>713</v>
      </c>
      <c r="D46" s="351" t="s">
        <v>713</v>
      </c>
      <c r="E46" s="67"/>
      <c r="F46" s="68"/>
      <c r="G46" s="68"/>
      <c r="H46" s="68"/>
      <c r="I46" s="68"/>
      <c r="J46" s="68"/>
      <c r="K46" s="68"/>
      <c r="L46" s="68"/>
      <c r="M46" s="373"/>
      <c r="N46" s="374"/>
      <c r="P46" s="15"/>
      <c r="R46" s="1" t="s">
        <v>42</v>
      </c>
    </row>
    <row r="47" spans="3:29" ht="16.5" customHeight="1">
      <c r="C47" s="351" t="s">
        <v>714</v>
      </c>
      <c r="D47" s="351" t="s">
        <v>714</v>
      </c>
      <c r="E47" s="67"/>
      <c r="F47" s="68"/>
      <c r="G47" s="68"/>
      <c r="H47" s="68"/>
      <c r="I47" s="68"/>
      <c r="J47" s="68"/>
      <c r="K47" s="68"/>
      <c r="L47" s="68"/>
      <c r="M47" s="373"/>
      <c r="N47" s="374"/>
      <c r="P47" s="15"/>
    </row>
    <row r="48" spans="3:29" ht="16.5" customHeight="1">
      <c r="C48" s="351" t="s">
        <v>54</v>
      </c>
      <c r="D48" s="351" t="s">
        <v>54</v>
      </c>
      <c r="E48" s="67"/>
      <c r="F48" s="68"/>
      <c r="G48" s="68"/>
      <c r="H48" s="68"/>
      <c r="I48" s="68"/>
      <c r="J48" s="68"/>
      <c r="K48" s="68"/>
      <c r="L48" s="68"/>
      <c r="M48" s="373"/>
      <c r="N48" s="374"/>
      <c r="P48" s="15"/>
    </row>
    <row r="49" spans="3:19" ht="16.5" customHeight="1">
      <c r="C49" s="353" t="s">
        <v>47</v>
      </c>
      <c r="D49" s="354" t="s">
        <v>47</v>
      </c>
      <c r="E49" s="67"/>
      <c r="F49" s="68"/>
      <c r="G49" s="68"/>
      <c r="H49" s="68"/>
      <c r="I49" s="68"/>
      <c r="J49" s="68"/>
      <c r="K49" s="68"/>
      <c r="L49" s="68"/>
      <c r="M49" s="363"/>
      <c r="N49" s="364"/>
      <c r="P49" s="15"/>
      <c r="S49" s="2" t="str">
        <f>IF(X49="Aprobada","Equiv",IF(X49="","","Reg"))</f>
        <v/>
      </c>
    </row>
    <row r="50" spans="3:19" ht="16.5" customHeight="1">
      <c r="C50" s="353" t="s">
        <v>715</v>
      </c>
      <c r="D50" s="354" t="s">
        <v>715</v>
      </c>
      <c r="E50" s="67"/>
      <c r="F50" s="68"/>
      <c r="G50" s="68"/>
      <c r="H50" s="68"/>
      <c r="I50" s="68"/>
      <c r="J50" s="68"/>
      <c r="K50" s="68"/>
      <c r="L50" s="68"/>
      <c r="M50" s="363"/>
      <c r="N50" s="364"/>
      <c r="P50" s="15"/>
      <c r="S50" s="2" t="str">
        <f>IF(X50="Aprobada","Equiv",IF(X50="","","Reg"))</f>
        <v/>
      </c>
    </row>
    <row r="51" spans="3:19" ht="16.5" customHeight="1">
      <c r="C51" s="353" t="s">
        <v>55</v>
      </c>
      <c r="D51" s="354" t="s">
        <v>55</v>
      </c>
      <c r="E51" s="67"/>
      <c r="F51" s="68"/>
      <c r="G51" s="68"/>
      <c r="H51" s="68"/>
      <c r="I51" s="68"/>
      <c r="J51" s="68"/>
      <c r="K51" s="68"/>
      <c r="L51" s="68"/>
      <c r="M51" s="363"/>
      <c r="N51" s="364"/>
      <c r="P51" s="15"/>
    </row>
    <row r="52" spans="3:19" ht="15" customHeight="1">
      <c r="C52" s="355" t="s">
        <v>67</v>
      </c>
      <c r="D52" s="356"/>
      <c r="E52" s="356"/>
      <c r="F52" s="356"/>
      <c r="G52" s="356"/>
      <c r="H52" s="356"/>
      <c r="I52" s="356"/>
      <c r="J52" s="356"/>
      <c r="K52" s="356"/>
      <c r="L52" s="357"/>
      <c r="M52" s="355" t="s">
        <v>58</v>
      </c>
      <c r="N52" s="357"/>
      <c r="P52" s="15"/>
    </row>
    <row r="53" spans="3:19" ht="15" customHeight="1">
      <c r="C53" s="358" t="s">
        <v>59</v>
      </c>
      <c r="D53" s="359"/>
      <c r="E53" s="357" t="s">
        <v>16</v>
      </c>
      <c r="F53" s="362"/>
      <c r="G53" s="362" t="s">
        <v>15</v>
      </c>
      <c r="H53" s="362"/>
      <c r="I53" s="362" t="s">
        <v>80</v>
      </c>
      <c r="J53" s="362"/>
      <c r="K53" s="362"/>
      <c r="L53" s="69" t="s">
        <v>60</v>
      </c>
      <c r="M53" s="370" t="s">
        <v>61</v>
      </c>
      <c r="N53" s="371"/>
      <c r="P53" s="15"/>
    </row>
    <row r="54" spans="3:19" ht="15" customHeight="1">
      <c r="C54" s="360"/>
      <c r="D54" s="361"/>
      <c r="E54" s="70" t="s">
        <v>21</v>
      </c>
      <c r="F54" s="69" t="s">
        <v>17</v>
      </c>
      <c r="G54" s="69" t="s">
        <v>13</v>
      </c>
      <c r="H54" s="69" t="s">
        <v>14</v>
      </c>
      <c r="I54" s="69" t="s">
        <v>18</v>
      </c>
      <c r="J54" s="69" t="s">
        <v>19</v>
      </c>
      <c r="K54" s="69" t="s">
        <v>20</v>
      </c>
      <c r="L54" s="69" t="s">
        <v>62</v>
      </c>
      <c r="M54" s="372" t="s">
        <v>78</v>
      </c>
      <c r="N54" s="372"/>
      <c r="P54" s="15"/>
    </row>
    <row r="55" spans="3:19" ht="16.5" customHeight="1">
      <c r="C55" s="351" t="s">
        <v>716</v>
      </c>
      <c r="D55" s="351" t="s">
        <v>716</v>
      </c>
      <c r="E55" s="68"/>
      <c r="F55" s="68"/>
      <c r="G55" s="68"/>
      <c r="H55" s="68"/>
      <c r="I55" s="68"/>
      <c r="J55" s="68"/>
      <c r="K55" s="68"/>
      <c r="L55" s="67"/>
      <c r="M55" s="373"/>
      <c r="N55" s="374"/>
      <c r="P55" s="15"/>
    </row>
    <row r="56" spans="3:19" ht="16.5" customHeight="1">
      <c r="C56" s="351" t="s">
        <v>717</v>
      </c>
      <c r="D56" s="351" t="s">
        <v>717</v>
      </c>
      <c r="E56" s="68"/>
      <c r="F56" s="68"/>
      <c r="G56" s="68"/>
      <c r="H56" s="68"/>
      <c r="I56" s="68"/>
      <c r="J56" s="68"/>
      <c r="K56" s="68"/>
      <c r="L56" s="67"/>
      <c r="M56" s="373"/>
      <c r="N56" s="374"/>
      <c r="P56" s="15"/>
    </row>
    <row r="57" spans="3:19" ht="16.5" customHeight="1">
      <c r="C57" s="351" t="s">
        <v>56</v>
      </c>
      <c r="D57" s="351" t="s">
        <v>56</v>
      </c>
      <c r="E57" s="68"/>
      <c r="F57" s="68"/>
      <c r="G57" s="68"/>
      <c r="H57" s="68"/>
      <c r="I57" s="68"/>
      <c r="J57" s="68"/>
      <c r="K57" s="68"/>
      <c r="L57" s="67"/>
      <c r="M57" s="373"/>
      <c r="N57" s="374"/>
      <c r="P57" s="15"/>
    </row>
    <row r="58" spans="3:19" ht="16.5" customHeight="1">
      <c r="C58" s="351" t="s">
        <v>68</v>
      </c>
      <c r="D58" s="351" t="s">
        <v>68</v>
      </c>
      <c r="E58" s="68"/>
      <c r="F58" s="68"/>
      <c r="G58" s="68"/>
      <c r="H58" s="68"/>
      <c r="I58" s="68"/>
      <c r="J58" s="68"/>
      <c r="K58" s="68"/>
      <c r="L58" s="67"/>
      <c r="M58" s="373"/>
      <c r="N58" s="374"/>
      <c r="P58" s="15"/>
    </row>
    <row r="59" spans="3:19" ht="16.5" customHeight="1">
      <c r="C59" s="351" t="s">
        <v>718</v>
      </c>
      <c r="D59" s="351" t="s">
        <v>718</v>
      </c>
      <c r="E59" s="68"/>
      <c r="F59" s="68"/>
      <c r="G59" s="68"/>
      <c r="H59" s="68"/>
      <c r="I59" s="68"/>
      <c r="J59" s="68"/>
      <c r="K59" s="68"/>
      <c r="L59" s="67"/>
      <c r="M59" s="373"/>
      <c r="N59" s="374"/>
      <c r="P59" s="15"/>
    </row>
    <row r="60" spans="3:19" ht="16.5" customHeight="1">
      <c r="C60" s="351" t="s">
        <v>719</v>
      </c>
      <c r="D60" s="351" t="s">
        <v>719</v>
      </c>
      <c r="E60" s="68"/>
      <c r="F60" s="68"/>
      <c r="G60" s="68"/>
      <c r="H60" s="68"/>
      <c r="I60" s="68"/>
      <c r="J60" s="68"/>
      <c r="K60" s="68"/>
      <c r="L60" s="67"/>
      <c r="M60" s="363"/>
      <c r="N60" s="364"/>
      <c r="P60" s="15"/>
    </row>
    <row r="61" spans="3:19">
      <c r="C61" s="15"/>
      <c r="D61" s="15"/>
      <c r="E61" s="2"/>
      <c r="F61" s="2"/>
      <c r="G61" s="2"/>
      <c r="H61" s="2"/>
      <c r="J61" s="2"/>
      <c r="K61" s="2"/>
      <c r="L61" s="2"/>
      <c r="M61" s="2"/>
      <c r="N61" s="2"/>
      <c r="P61" s="15"/>
    </row>
    <row r="62" spans="3:19" hidden="1">
      <c r="C62" s="15"/>
      <c r="D62" s="15"/>
      <c r="E62" s="2"/>
      <c r="F62" s="2"/>
      <c r="G62" s="2"/>
      <c r="H62" s="2"/>
      <c r="J62" s="2"/>
      <c r="K62" s="2"/>
      <c r="L62" s="2"/>
      <c r="M62" s="2"/>
      <c r="N62" s="2"/>
      <c r="P62" s="15"/>
    </row>
    <row r="63" spans="3:19" hidden="1">
      <c r="C63" s="15"/>
      <c r="D63" s="15"/>
      <c r="E63" s="2"/>
      <c r="F63" s="2"/>
      <c r="G63" s="2"/>
      <c r="H63" s="2"/>
      <c r="J63" s="2"/>
      <c r="K63" s="2"/>
      <c r="L63" s="2"/>
      <c r="M63" s="2"/>
      <c r="N63" s="2"/>
      <c r="P63" s="15"/>
    </row>
    <row r="64" spans="3:19" hidden="1">
      <c r="I64" s="1"/>
      <c r="P64" s="15"/>
    </row>
    <row r="65" spans="3:16" hidden="1">
      <c r="C65" s="15"/>
      <c r="D65" s="15"/>
      <c r="E65" s="2"/>
      <c r="F65" s="2"/>
      <c r="G65" s="2"/>
      <c r="H65" s="2"/>
      <c r="J65" s="2"/>
      <c r="K65" s="2"/>
      <c r="L65" s="2"/>
      <c r="M65" s="2"/>
      <c r="N65" s="2"/>
      <c r="P65" s="15"/>
    </row>
    <row r="66" spans="3:16">
      <c r="C66" s="4"/>
      <c r="F66" s="2"/>
      <c r="G66" s="2"/>
      <c r="H66" s="2"/>
      <c r="J66" s="2"/>
      <c r="K66" s="2"/>
      <c r="L66" s="2"/>
      <c r="M66" s="2"/>
      <c r="N66" s="2"/>
      <c r="P66" s="15"/>
    </row>
    <row r="67" spans="3:16">
      <c r="C67" s="59" t="s">
        <v>31</v>
      </c>
      <c r="D67" s="60">
        <f ca="1">AVERAGE(E33:E41,E45:E51,E55:E60)</f>
        <v>0</v>
      </c>
      <c r="F67" s="2"/>
      <c r="G67" s="2"/>
      <c r="H67" s="2"/>
      <c r="J67" s="2"/>
      <c r="K67" s="2"/>
      <c r="L67" s="2"/>
      <c r="M67" s="2"/>
      <c r="N67" s="2"/>
    </row>
    <row r="68" spans="3:16" ht="11.25" thickBot="1">
      <c r="C68" s="33"/>
      <c r="D68" s="33"/>
      <c r="E68" s="48"/>
      <c r="F68" s="33"/>
      <c r="G68" s="33"/>
      <c r="H68" s="33"/>
      <c r="I68" s="33"/>
      <c r="J68" s="33"/>
      <c r="K68" s="33"/>
      <c r="L68" s="33"/>
      <c r="M68" s="33"/>
      <c r="N68" s="33"/>
      <c r="O68" s="33"/>
    </row>
    <row r="69" spans="3:16" ht="6.95" customHeight="1">
      <c r="E69" s="49"/>
      <c r="F69" s="2"/>
      <c r="G69" s="2"/>
      <c r="H69" s="2"/>
      <c r="J69" s="2"/>
      <c r="K69" s="2"/>
      <c r="L69" s="2"/>
      <c r="M69" s="2"/>
      <c r="N69" s="2"/>
    </row>
    <row r="70" spans="3:16">
      <c r="C70" s="61" t="s">
        <v>11</v>
      </c>
      <c r="D70" s="62" t="str">
        <f ca="1">IF(COUNTBLANK(E33:E41)=0,"COMPLETO","INCOMPLETO")</f>
        <v>COMPLETO</v>
      </c>
      <c r="F70" s="2"/>
      <c r="G70" s="2"/>
      <c r="H70" s="2"/>
      <c r="J70" s="2"/>
      <c r="K70" s="2"/>
      <c r="L70" s="2"/>
      <c r="M70" s="2"/>
      <c r="N70" s="2"/>
    </row>
    <row r="71" spans="3:16">
      <c r="C71" s="63" t="s">
        <v>12</v>
      </c>
      <c r="D71" s="64" t="str">
        <f>IF(COUNTBLANK(E45:E51)=0,"COMPLETO","INCOMPLETO")</f>
        <v>INCOMPLETO</v>
      </c>
      <c r="F71" s="2"/>
      <c r="G71" s="2"/>
      <c r="H71" s="2"/>
      <c r="J71" s="2"/>
      <c r="K71" s="2"/>
      <c r="L71" s="2"/>
      <c r="M71" s="2"/>
      <c r="N71" s="2"/>
    </row>
    <row r="72" spans="3:16">
      <c r="C72" s="65" t="s">
        <v>29</v>
      </c>
      <c r="D72" s="66" t="str">
        <f>IF(COUNTBLANK(E55:E60)=0,"COMPLETO","INCOMPLETO")</f>
        <v>INCOMPLETO</v>
      </c>
      <c r="F72" s="2"/>
      <c r="G72" s="2"/>
      <c r="H72" s="2"/>
      <c r="J72" s="2"/>
      <c r="K72" s="2"/>
      <c r="L72" s="2"/>
      <c r="M72" s="2"/>
      <c r="N72" s="2"/>
    </row>
    <row r="73" spans="3:16" ht="6.95" customHeight="1" thickBot="1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6">
      <c r="D74" s="49"/>
      <c r="E74" s="49"/>
      <c r="F74" s="49"/>
      <c r="G74" s="49"/>
      <c r="H74" s="49"/>
      <c r="I74" s="50"/>
      <c r="J74" s="49"/>
      <c r="K74" s="49"/>
      <c r="L74" s="49"/>
      <c r="M74" s="49"/>
      <c r="N74" s="49"/>
      <c r="O74" s="49"/>
    </row>
    <row r="75" spans="3:16" ht="27" customHeight="1">
      <c r="C75" s="352" t="s">
        <v>86</v>
      </c>
      <c r="D75" s="352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</row>
    <row r="76" spans="3:16" ht="12.75">
      <c r="C76" s="71">
        <f ca="1">TODAY()</f>
        <v>45337</v>
      </c>
      <c r="D76" s="5"/>
    </row>
    <row r="77" spans="3:16">
      <c r="D77" s="5"/>
      <c r="I77" s="1"/>
    </row>
    <row r="78" spans="3:16">
      <c r="D78" s="5"/>
      <c r="I78" s="1"/>
      <c r="M78" s="14"/>
      <c r="N78" s="14"/>
    </row>
    <row r="79" spans="3:16">
      <c r="D79" s="5"/>
      <c r="I79" s="378" t="s">
        <v>30</v>
      </c>
      <c r="J79" s="378"/>
      <c r="K79" s="378"/>
      <c r="L79" s="378"/>
    </row>
    <row r="80" spans="3:16" ht="11.25" thickBot="1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4" hidden="1">
      <c r="D81" s="5"/>
    </row>
    <row r="82" spans="3:4" hidden="1">
      <c r="D82" s="5"/>
    </row>
    <row r="83" spans="3:4" hidden="1">
      <c r="D83" s="5"/>
    </row>
    <row r="84" spans="3:4" hidden="1">
      <c r="D84" s="5"/>
    </row>
    <row r="85" spans="3:4" hidden="1">
      <c r="D85" s="5"/>
    </row>
    <row r="86" spans="3:4" hidden="1">
      <c r="D86" s="5"/>
    </row>
    <row r="87" spans="3:4" ht="9" hidden="1" customHeight="1">
      <c r="D87" s="5"/>
    </row>
    <row r="88" spans="3:4" hidden="1">
      <c r="D88" s="5"/>
    </row>
    <row r="89" spans="3:4" hidden="1">
      <c r="D89" s="5"/>
    </row>
    <row r="90" spans="3:4" hidden="1">
      <c r="D90" s="5"/>
    </row>
    <row r="91" spans="3:4" hidden="1">
      <c r="C91" s="10"/>
      <c r="D91" s="5"/>
    </row>
    <row r="92" spans="3:4"/>
    <row r="93" spans="3:4"/>
  </sheetData>
  <mergeCells count="82">
    <mergeCell ref="M49:N49"/>
    <mergeCell ref="D15:L15"/>
    <mergeCell ref="C27:N28"/>
    <mergeCell ref="D21:K22"/>
    <mergeCell ref="I79:L79"/>
    <mergeCell ref="M40:N40"/>
    <mergeCell ref="M41:N41"/>
    <mergeCell ref="M42:N42"/>
    <mergeCell ref="M43:N43"/>
    <mergeCell ref="M44:N44"/>
    <mergeCell ref="M60:N60"/>
    <mergeCell ref="M55:N55"/>
    <mergeCell ref="M56:N56"/>
    <mergeCell ref="M50:N50"/>
    <mergeCell ref="M51:N51"/>
    <mergeCell ref="M59:N59"/>
    <mergeCell ref="M46:N46"/>
    <mergeCell ref="M47:N47"/>
    <mergeCell ref="M48:N48"/>
    <mergeCell ref="M30:N30"/>
    <mergeCell ref="M45:N45"/>
    <mergeCell ref="M36:N36"/>
    <mergeCell ref="M38:N38"/>
    <mergeCell ref="M37:N37"/>
    <mergeCell ref="M52:N52"/>
    <mergeCell ref="M53:N53"/>
    <mergeCell ref="M54:N54"/>
    <mergeCell ref="M57:N57"/>
    <mergeCell ref="M58:N58"/>
    <mergeCell ref="C31:D32"/>
    <mergeCell ref="E31:F31"/>
    <mergeCell ref="G31:H31"/>
    <mergeCell ref="I31:K31"/>
    <mergeCell ref="M31:N31"/>
    <mergeCell ref="M32:N32"/>
    <mergeCell ref="D17:J17"/>
    <mergeCell ref="D20:E20"/>
    <mergeCell ref="D24:L25"/>
    <mergeCell ref="C30:L30"/>
    <mergeCell ref="M18:N18"/>
    <mergeCell ref="M21:N21"/>
    <mergeCell ref="M23:N23"/>
    <mergeCell ref="C33:D33"/>
    <mergeCell ref="M33:N33"/>
    <mergeCell ref="M34:N34"/>
    <mergeCell ref="M35:N35"/>
    <mergeCell ref="M39:N39"/>
    <mergeCell ref="C36:D36"/>
    <mergeCell ref="C38:D38"/>
    <mergeCell ref="C37:D37"/>
    <mergeCell ref="C45:D45"/>
    <mergeCell ref="C46:D46"/>
    <mergeCell ref="C34:D34"/>
    <mergeCell ref="C35:D35"/>
    <mergeCell ref="C39:D39"/>
    <mergeCell ref="C41:D41"/>
    <mergeCell ref="C42:L42"/>
    <mergeCell ref="C43:D44"/>
    <mergeCell ref="E43:F43"/>
    <mergeCell ref="G43:H43"/>
    <mergeCell ref="I43:K43"/>
    <mergeCell ref="I53:K53"/>
    <mergeCell ref="C47:D47"/>
    <mergeCell ref="C48:D48"/>
    <mergeCell ref="C50:D50"/>
    <mergeCell ref="C49:D49"/>
    <mergeCell ref="C8:N12"/>
    <mergeCell ref="C13:N13"/>
    <mergeCell ref="C14:N14"/>
    <mergeCell ref="C40:D40"/>
    <mergeCell ref="C75:O75"/>
    <mergeCell ref="C59:D59"/>
    <mergeCell ref="C60:D60"/>
    <mergeCell ref="C51:D51"/>
    <mergeCell ref="C56:D56"/>
    <mergeCell ref="C55:D55"/>
    <mergeCell ref="C58:D58"/>
    <mergeCell ref="C52:L52"/>
    <mergeCell ref="C57:D57"/>
    <mergeCell ref="C53:D54"/>
    <mergeCell ref="E53:F53"/>
    <mergeCell ref="G53:H53"/>
  </mergeCells>
  <phoneticPr fontId="8" type="noConversion"/>
  <dataValidations count="1">
    <dataValidation type="list" allowBlank="1" showInputMessage="1" showErrorMessage="1" sqref="D15">
      <formula1>TITULOS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78" orientation="portrait" horizontalDpi="300" verticalDpi="300" r:id="rId1"/>
  <headerFooter alignWithMargins="0">
    <oddHeader>&amp;R&amp;"Arial,Negrita"&amp;8Córdoba, &amp;D</oddHeader>
  </headerFooter>
  <ignoredErrors>
    <ignoredError sqref="I35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'BASE DE ESTUDIANTES'!$E:$E</xm:f>
          </x14:formula1>
          <xm:sqref>D17:J17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5"/>
  <sheetViews>
    <sheetView workbookViewId="0">
      <selection activeCell="I3" sqref="I3:O58"/>
    </sheetView>
  </sheetViews>
  <sheetFormatPr baseColWidth="10" defaultRowHeight="12.75"/>
  <cols>
    <col min="1" max="1" width="5.7109375" style="88" customWidth="1"/>
    <col min="2" max="2" width="11.28515625" style="13" bestFit="1" customWidth="1"/>
    <col min="3" max="3" width="43.140625" style="13" bestFit="1" customWidth="1"/>
    <col min="5" max="5" width="14.140625" style="13" bestFit="1" customWidth="1"/>
    <col min="6" max="6" width="10.28515625" style="13" hidden="1" customWidth="1"/>
    <col min="7" max="7" width="16.28515625" style="9" bestFit="1" customWidth="1"/>
    <col min="8" max="8" width="19.42578125" style="9" customWidth="1"/>
    <col min="9" max="9" width="12.7109375" customWidth="1"/>
    <col min="11" max="11" width="10.5703125" style="9" bestFit="1" customWidth="1"/>
    <col min="12" max="12" width="12.85546875" style="9" bestFit="1" customWidth="1"/>
    <col min="14" max="14" width="13.28515625" hidden="1" customWidth="1"/>
    <col min="15" max="15" width="15.85546875" style="12" bestFit="1" customWidth="1"/>
    <col min="16" max="16" width="15.85546875" style="12" customWidth="1"/>
    <col min="17" max="17" width="160.140625" style="12" hidden="1" customWidth="1"/>
    <col min="18" max="18" width="12" style="12" customWidth="1"/>
  </cols>
  <sheetData>
    <row r="1" spans="2:18" ht="38.25">
      <c r="B1" s="125" t="s">
        <v>1</v>
      </c>
      <c r="C1" s="113" t="s">
        <v>2</v>
      </c>
      <c r="D1" s="114" t="s">
        <v>252</v>
      </c>
      <c r="E1" s="110" t="s">
        <v>251</v>
      </c>
      <c r="F1" s="97" t="s">
        <v>244</v>
      </c>
      <c r="G1" s="97" t="s">
        <v>243</v>
      </c>
      <c r="H1" s="99" t="s">
        <v>245</v>
      </c>
      <c r="I1" s="92" t="s">
        <v>74</v>
      </c>
      <c r="J1" s="93" t="s">
        <v>75</v>
      </c>
      <c r="K1" s="92" t="s">
        <v>76</v>
      </c>
      <c r="L1" s="116" t="s">
        <v>246</v>
      </c>
      <c r="M1" s="116" t="s">
        <v>247</v>
      </c>
      <c r="N1" s="97" t="s">
        <v>248</v>
      </c>
      <c r="O1" s="117" t="s">
        <v>250</v>
      </c>
      <c r="P1" s="98" t="s">
        <v>249</v>
      </c>
      <c r="Q1" s="98"/>
      <c r="R1"/>
    </row>
    <row r="2" spans="2:18">
      <c r="B2" s="156" t="s">
        <v>559</v>
      </c>
      <c r="C2" s="247"/>
      <c r="D2" s="108" t="s">
        <v>253</v>
      </c>
      <c r="E2" s="238">
        <v>42384732</v>
      </c>
      <c r="F2" s="241">
        <v>45107</v>
      </c>
      <c r="G2" s="245" t="s">
        <v>425</v>
      </c>
      <c r="H2" s="101">
        <v>16000</v>
      </c>
      <c r="I2" s="235">
        <v>8000</v>
      </c>
      <c r="J2" s="115"/>
      <c r="K2" s="94"/>
      <c r="L2" s="256">
        <f>SUM(Tabla2[[#This Row],[Cuota 1]:[Cuota 3]])</f>
        <v>8000</v>
      </c>
      <c r="M2" s="100">
        <f>+Tabla2[[#This Row],[COSTO DE INSCRIPCION]]-Tabla2[[#This Row],[PAGOS RECIBIDOS]]</f>
        <v>8000</v>
      </c>
      <c r="N2" s="96" t="str">
        <f ca="1">IF(Tabla2[[#This Row],[Fecha limite de pago ]]&lt;=TODAY(), "A VENCERSE", " ")</f>
        <v>A VENCERSE</v>
      </c>
      <c r="O2" s="233" t="str">
        <f ca="1">IF(Tabla2[[#This Row],[Estatus de fecha de Vencimientos]]= "A VENCERSE", HYPERLINK("https://api.whatsapp.com/send?phone="&amp;Tabla2[[#This Row],[TELEFONO]]&amp;"&amp;text="&amp;Tabla2[[#This Row],[Mensaje]],"Enviar Msj"), "")</f>
        <v>Enviar Msj</v>
      </c>
      <c r="P2" s="96" t="str">
        <f>"⚠ Estimado Estudiante "&amp; Tabla2[[#This Row],[Apellido y Nombre]]&amp;", nuestra prioridad es su educacion, por eso queremos recordarle que esta proxima a vencer la cuota de cooperadora"</f>
        <v>⚠ Estimado Estudiante , nuestra prioridad es su educacion, por eso queremos recordarle que esta proxima a vencer la cuota de cooperadora</v>
      </c>
      <c r="Q2"/>
      <c r="R2"/>
    </row>
    <row r="3" spans="2:18">
      <c r="B3" s="156" t="s">
        <v>560</v>
      </c>
      <c r="C3" s="248"/>
      <c r="D3" s="108" t="s">
        <v>253</v>
      </c>
      <c r="E3" s="238">
        <v>40521466</v>
      </c>
      <c r="F3" s="241">
        <v>45107</v>
      </c>
      <c r="G3" s="245" t="s">
        <v>424</v>
      </c>
      <c r="H3" s="101">
        <v>16000</v>
      </c>
      <c r="I3" s="94"/>
      <c r="J3" s="94"/>
      <c r="K3" s="94"/>
      <c r="L3" s="94"/>
      <c r="M3" s="94"/>
      <c r="N3" s="94"/>
      <c r="O3" s="94"/>
      <c r="P3" t="str">
        <f>"⚠ Estimado Estudiante "&amp; Tabla2[[#This Row],[Apellido y Nombre]]&amp;", nuestra prioridad es su educacion, por eso queremos recordarle que esta proxima a vencer la cuota de cooperadora"</f>
        <v>⚠ Estimado Estudiante , nuestra prioridad es su educacion, por eso queremos recordarle que esta proxima a vencer la cuota de cooperadora</v>
      </c>
      <c r="Q3"/>
      <c r="R3"/>
    </row>
    <row r="4" spans="2:18">
      <c r="B4" s="156"/>
      <c r="C4" s="249"/>
      <c r="D4" s="108"/>
      <c r="E4" s="238"/>
      <c r="F4" s="242"/>
      <c r="G4" s="245"/>
      <c r="H4" s="101"/>
      <c r="I4" s="94"/>
      <c r="J4" s="94"/>
      <c r="K4" s="94"/>
      <c r="L4" s="94"/>
      <c r="M4" s="94"/>
      <c r="N4" s="94"/>
      <c r="O4" s="94"/>
      <c r="P4" s="123"/>
      <c r="Q4"/>
      <c r="R4" s="102"/>
    </row>
    <row r="5" spans="2:18">
      <c r="B5" s="156"/>
      <c r="C5" s="249"/>
      <c r="D5" s="108"/>
      <c r="E5" s="238"/>
      <c r="F5" s="242"/>
      <c r="G5" s="245"/>
      <c r="H5" s="101"/>
      <c r="I5" s="94"/>
      <c r="J5" s="94"/>
      <c r="K5" s="94"/>
      <c r="L5" s="94"/>
      <c r="M5" s="94"/>
      <c r="N5" s="94"/>
      <c r="O5" s="94"/>
      <c r="P5" s="95"/>
      <c r="Q5"/>
      <c r="R5" s="103"/>
    </row>
    <row r="6" spans="2:18">
      <c r="B6" s="156"/>
      <c r="C6" s="248"/>
      <c r="D6" s="108"/>
      <c r="E6" s="238"/>
      <c r="F6" s="241"/>
      <c r="G6" s="245"/>
      <c r="H6" s="101"/>
      <c r="I6" s="94"/>
      <c r="J6" s="94"/>
      <c r="K6" s="94"/>
      <c r="L6" s="94"/>
      <c r="M6" s="94"/>
      <c r="N6" s="94"/>
      <c r="O6" s="94"/>
      <c r="P6"/>
      <c r="Q6"/>
      <c r="R6" s="104"/>
    </row>
    <row r="7" spans="2:18">
      <c r="B7" s="156"/>
      <c r="C7" s="248"/>
      <c r="D7" s="108"/>
      <c r="E7" s="238"/>
      <c r="F7" s="241"/>
      <c r="G7" s="245"/>
      <c r="H7" s="101"/>
      <c r="I7" s="94"/>
      <c r="J7" s="94"/>
      <c r="K7" s="94"/>
      <c r="L7" s="94"/>
      <c r="M7" s="94"/>
      <c r="N7" s="94"/>
      <c r="O7" s="94"/>
      <c r="P7"/>
      <c r="Q7"/>
      <c r="R7"/>
    </row>
    <row r="8" spans="2:18">
      <c r="B8" s="156"/>
      <c r="C8" s="248"/>
      <c r="D8" s="108"/>
      <c r="E8" s="238"/>
      <c r="F8" s="241"/>
      <c r="G8" s="245"/>
      <c r="H8" s="101"/>
      <c r="I8" s="94"/>
      <c r="J8" s="94"/>
      <c r="K8" s="94"/>
      <c r="L8" s="94"/>
      <c r="M8" s="94"/>
      <c r="N8" s="94"/>
      <c r="O8" s="94"/>
      <c r="P8" s="122"/>
      <c r="Q8"/>
      <c r="R8"/>
    </row>
    <row r="9" spans="2:18">
      <c r="B9" s="156"/>
      <c r="C9" s="248"/>
      <c r="D9" s="108"/>
      <c r="E9" s="238"/>
      <c r="F9" s="241"/>
      <c r="G9" s="245"/>
      <c r="H9" s="101"/>
      <c r="I9" s="94"/>
      <c r="J9" s="94"/>
      <c r="K9" s="94"/>
      <c r="L9" s="94"/>
      <c r="M9" s="94"/>
      <c r="N9" s="94"/>
      <c r="O9" s="94"/>
      <c r="P9"/>
      <c r="Q9"/>
      <c r="R9"/>
    </row>
    <row r="10" spans="2:18">
      <c r="B10" s="156"/>
      <c r="C10" s="248"/>
      <c r="D10" s="108"/>
      <c r="E10" s="238"/>
      <c r="F10" s="241"/>
      <c r="G10" s="245"/>
      <c r="H10" s="101"/>
      <c r="I10" s="94"/>
      <c r="J10" s="94"/>
      <c r="K10" s="94"/>
      <c r="L10" s="94"/>
      <c r="M10" s="94"/>
      <c r="N10" s="94"/>
      <c r="O10" s="94"/>
      <c r="P10"/>
      <c r="Q10"/>
      <c r="R10"/>
    </row>
    <row r="11" spans="2:18">
      <c r="B11" s="156"/>
      <c r="C11" s="248"/>
      <c r="D11" s="108"/>
      <c r="E11" s="238"/>
      <c r="F11" s="241"/>
      <c r="G11" s="245"/>
      <c r="H11" s="101"/>
      <c r="I11" s="94"/>
      <c r="J11" s="94"/>
      <c r="K11" s="94"/>
      <c r="L11" s="94"/>
      <c r="M11" s="94"/>
      <c r="N11" s="94"/>
      <c r="O11" s="94"/>
      <c r="P11"/>
      <c r="Q11"/>
      <c r="R11"/>
    </row>
    <row r="12" spans="2:18">
      <c r="B12" s="156"/>
      <c r="C12" s="248"/>
      <c r="D12" s="108"/>
      <c r="E12" s="238"/>
      <c r="F12" s="241"/>
      <c r="G12" s="246"/>
      <c r="H12" s="101"/>
      <c r="I12" s="94"/>
      <c r="J12" s="94"/>
      <c r="K12" s="94"/>
      <c r="L12" s="94"/>
      <c r="M12" s="94"/>
      <c r="N12" s="94"/>
      <c r="O12" s="94"/>
      <c r="P12"/>
      <c r="Q12"/>
      <c r="R12"/>
    </row>
    <row r="13" spans="2:18">
      <c r="B13" s="156"/>
      <c r="C13" s="248"/>
      <c r="D13" s="108"/>
      <c r="E13" s="238"/>
      <c r="F13" s="241"/>
      <c r="G13" s="246"/>
      <c r="H13" s="101"/>
      <c r="I13" s="94"/>
      <c r="J13" s="94"/>
      <c r="K13" s="94"/>
      <c r="L13" s="94"/>
      <c r="M13" s="94"/>
      <c r="N13" s="94"/>
      <c r="O13" s="94"/>
      <c r="P13"/>
      <c r="Q13"/>
      <c r="R13"/>
    </row>
    <row r="14" spans="2:18">
      <c r="B14" s="156"/>
      <c r="C14" s="248"/>
      <c r="D14" s="108"/>
      <c r="E14" s="238"/>
      <c r="F14" s="241"/>
      <c r="G14" s="246"/>
      <c r="H14" s="101"/>
      <c r="I14" s="94"/>
      <c r="J14" s="94"/>
      <c r="K14" s="94"/>
      <c r="L14" s="94"/>
      <c r="M14" s="94"/>
      <c r="N14" s="94"/>
      <c r="O14" s="94"/>
      <c r="P14"/>
      <c r="Q14"/>
      <c r="R14"/>
    </row>
    <row r="15" spans="2:18">
      <c r="B15" s="156"/>
      <c r="C15" s="248"/>
      <c r="D15" s="108"/>
      <c r="E15" s="238"/>
      <c r="F15" s="241"/>
      <c r="G15" s="246"/>
      <c r="H15" s="234"/>
      <c r="I15" s="94"/>
      <c r="J15" s="94"/>
      <c r="K15" s="94"/>
      <c r="L15" s="94"/>
      <c r="M15" s="94"/>
      <c r="N15" s="94"/>
      <c r="O15" s="94"/>
      <c r="P15" s="123"/>
      <c r="Q15"/>
      <c r="R15"/>
    </row>
    <row r="16" spans="2:18">
      <c r="B16" s="156"/>
      <c r="C16" s="248"/>
      <c r="D16" s="108"/>
      <c r="E16" s="238"/>
      <c r="F16" s="118"/>
      <c r="G16" s="246"/>
      <c r="H16" s="234"/>
      <c r="I16" s="94"/>
      <c r="J16" s="94"/>
      <c r="K16" s="94"/>
      <c r="L16" s="94"/>
      <c r="M16" s="94"/>
      <c r="N16" s="94"/>
      <c r="O16" s="94"/>
      <c r="P16" s="105"/>
      <c r="Q16"/>
      <c r="R16"/>
    </row>
    <row r="17" spans="2:18">
      <c r="B17" s="156"/>
      <c r="C17" s="250"/>
      <c r="D17" s="108"/>
      <c r="E17" s="238"/>
      <c r="F17" s="231"/>
      <c r="G17" s="246"/>
      <c r="H17" s="101"/>
      <c r="I17" s="94"/>
      <c r="J17" s="94"/>
      <c r="K17" s="94"/>
      <c r="L17" s="94"/>
      <c r="M17" s="94"/>
      <c r="N17" s="94"/>
      <c r="O17" s="94"/>
      <c r="P17" s="105"/>
      <c r="Q17"/>
      <c r="R17"/>
    </row>
    <row r="18" spans="2:18">
      <c r="B18" s="156"/>
      <c r="C18" s="248"/>
      <c r="D18" s="108"/>
      <c r="E18" s="238"/>
      <c r="F18" s="241"/>
      <c r="G18" s="246"/>
      <c r="H18" s="101"/>
      <c r="I18" s="94"/>
      <c r="J18" s="94"/>
      <c r="K18" s="94"/>
      <c r="L18" s="94"/>
      <c r="M18" s="94"/>
      <c r="N18" s="94"/>
      <c r="O18" s="94"/>
      <c r="P18"/>
      <c r="Q18"/>
      <c r="R18"/>
    </row>
    <row r="19" spans="2:18">
      <c r="B19" s="156"/>
      <c r="C19" s="248"/>
      <c r="D19" s="108"/>
      <c r="E19" s="238"/>
      <c r="F19" s="241"/>
      <c r="G19" s="246"/>
      <c r="H19" s="101"/>
      <c r="I19" s="94"/>
      <c r="J19" s="94"/>
      <c r="K19" s="94"/>
      <c r="L19" s="94"/>
      <c r="M19" s="94"/>
      <c r="N19" s="94"/>
      <c r="O19" s="94"/>
      <c r="P19"/>
      <c r="Q19"/>
      <c r="R19"/>
    </row>
    <row r="20" spans="2:18">
      <c r="B20" s="156"/>
      <c r="C20" s="248"/>
      <c r="D20" s="108"/>
      <c r="E20" s="238"/>
      <c r="F20" s="241"/>
      <c r="G20" s="246"/>
      <c r="H20" s="101"/>
      <c r="I20" s="94"/>
      <c r="J20" s="94"/>
      <c r="K20" s="94"/>
      <c r="L20" s="94"/>
      <c r="M20" s="94"/>
      <c r="N20" s="94"/>
      <c r="O20" s="94"/>
      <c r="P20"/>
      <c r="Q20"/>
      <c r="R20"/>
    </row>
    <row r="21" spans="2:18">
      <c r="B21" s="156"/>
      <c r="C21" s="248"/>
      <c r="D21" s="108"/>
      <c r="E21" s="238"/>
      <c r="F21" s="241"/>
      <c r="G21" s="246"/>
      <c r="H21" s="101"/>
      <c r="I21" s="94"/>
      <c r="J21" s="94"/>
      <c r="K21" s="94"/>
      <c r="L21" s="94"/>
      <c r="M21" s="94"/>
      <c r="N21" s="94"/>
      <c r="O21" s="94"/>
      <c r="P21"/>
      <c r="Q21"/>
      <c r="R21"/>
    </row>
    <row r="22" spans="2:18">
      <c r="B22" s="156"/>
      <c r="C22" s="248"/>
      <c r="D22" s="108"/>
      <c r="E22" s="238"/>
      <c r="F22" s="241"/>
      <c r="G22" s="246"/>
      <c r="H22" s="101"/>
      <c r="I22" s="94"/>
      <c r="J22" s="94"/>
      <c r="K22" s="94"/>
      <c r="L22" s="94"/>
      <c r="M22" s="94"/>
      <c r="N22" s="94"/>
      <c r="O22" s="94"/>
      <c r="P22"/>
      <c r="Q22"/>
      <c r="R22"/>
    </row>
    <row r="23" spans="2:18">
      <c r="B23" s="156"/>
      <c r="C23" s="248"/>
      <c r="D23" s="108"/>
      <c r="E23" s="238"/>
      <c r="F23" s="241"/>
      <c r="G23" s="246"/>
      <c r="H23" s="101"/>
      <c r="I23" s="94"/>
      <c r="J23" s="94"/>
      <c r="K23" s="94"/>
      <c r="L23" s="94"/>
      <c r="M23" s="94"/>
      <c r="N23" s="94"/>
      <c r="O23" s="94"/>
      <c r="P23"/>
      <c r="Q23"/>
      <c r="R23"/>
    </row>
    <row r="24" spans="2:18">
      <c r="B24" s="156"/>
      <c r="C24" s="248"/>
      <c r="D24" s="108"/>
      <c r="E24" s="238"/>
      <c r="F24" s="241"/>
      <c r="G24" s="246"/>
      <c r="H24" s="101"/>
      <c r="I24" s="94"/>
      <c r="J24" s="94"/>
      <c r="K24" s="94"/>
      <c r="L24" s="94"/>
      <c r="M24" s="94"/>
      <c r="N24" s="94"/>
      <c r="O24" s="94"/>
      <c r="P24"/>
      <c r="Q24"/>
      <c r="R24"/>
    </row>
    <row r="25" spans="2:18">
      <c r="B25" s="156"/>
      <c r="C25" s="251"/>
      <c r="D25" s="108"/>
      <c r="E25" s="238"/>
      <c r="F25" s="241"/>
      <c r="G25" s="246"/>
      <c r="H25" s="101"/>
      <c r="I25" s="94"/>
      <c r="J25" s="94"/>
      <c r="K25" s="94"/>
      <c r="L25" s="94"/>
      <c r="M25" s="94"/>
      <c r="N25" s="94"/>
      <c r="O25" s="94"/>
      <c r="Q25"/>
      <c r="R25"/>
    </row>
    <row r="26" spans="2:18">
      <c r="B26" s="156"/>
      <c r="C26" s="248"/>
      <c r="D26" s="108"/>
      <c r="E26" s="238"/>
      <c r="F26" s="241"/>
      <c r="G26" s="246"/>
      <c r="H26" s="101"/>
      <c r="I26" s="94"/>
      <c r="J26" s="94"/>
      <c r="K26" s="94"/>
      <c r="L26" s="94"/>
      <c r="M26" s="94"/>
      <c r="N26" s="94"/>
      <c r="O26" s="94"/>
      <c r="P26"/>
      <c r="Q26"/>
      <c r="R26"/>
    </row>
    <row r="27" spans="2:18">
      <c r="B27" s="156"/>
      <c r="C27" s="248"/>
      <c r="D27" s="108"/>
      <c r="E27" s="238"/>
      <c r="F27" s="241"/>
      <c r="G27" s="246"/>
      <c r="H27" s="101"/>
      <c r="I27" s="94"/>
      <c r="J27" s="94"/>
      <c r="K27" s="94"/>
      <c r="L27" s="94"/>
      <c r="M27" s="94"/>
      <c r="N27" s="94"/>
      <c r="O27" s="94"/>
      <c r="P27"/>
      <c r="Q27"/>
      <c r="R27"/>
    </row>
    <row r="28" spans="2:18">
      <c r="B28" s="156"/>
      <c r="C28" s="248"/>
      <c r="D28" s="108"/>
      <c r="E28" s="238"/>
      <c r="F28" s="241"/>
      <c r="G28" s="246"/>
      <c r="H28" s="101"/>
      <c r="I28" s="94"/>
      <c r="J28" s="94"/>
      <c r="K28" s="94"/>
      <c r="L28" s="94"/>
      <c r="M28" s="94"/>
      <c r="N28" s="94"/>
      <c r="O28" s="94"/>
      <c r="P28"/>
      <c r="Q28"/>
      <c r="R28"/>
    </row>
    <row r="29" spans="2:18">
      <c r="B29" s="156"/>
      <c r="C29" s="252"/>
      <c r="D29" s="108"/>
      <c r="E29" s="238"/>
      <c r="F29" s="241"/>
      <c r="G29" s="246"/>
      <c r="H29" s="101"/>
      <c r="I29" s="94"/>
      <c r="J29" s="94"/>
      <c r="K29" s="94"/>
      <c r="L29" s="94"/>
      <c r="M29" s="94"/>
      <c r="N29" s="94"/>
      <c r="O29" s="94"/>
      <c r="P29" s="93"/>
      <c r="Q29"/>
      <c r="R29"/>
    </row>
    <row r="30" spans="2:18">
      <c r="B30" s="156"/>
      <c r="C30" s="248"/>
      <c r="D30" s="108"/>
      <c r="E30" s="238"/>
      <c r="F30" s="241"/>
      <c r="G30" s="246"/>
      <c r="H30" s="101"/>
      <c r="I30" s="94"/>
      <c r="J30" s="94"/>
      <c r="K30" s="94"/>
      <c r="L30" s="94"/>
      <c r="M30" s="94"/>
      <c r="N30" s="94"/>
      <c r="O30" s="94"/>
      <c r="P30"/>
      <c r="Q30"/>
      <c r="R30"/>
    </row>
    <row r="31" spans="2:18">
      <c r="B31" s="156"/>
      <c r="C31" s="251"/>
      <c r="D31" s="108"/>
      <c r="E31" s="238"/>
      <c r="F31" s="241"/>
      <c r="G31" s="246"/>
      <c r="H31" s="101"/>
      <c r="I31" s="94"/>
      <c r="J31" s="94"/>
      <c r="K31" s="94"/>
      <c r="L31" s="94"/>
      <c r="M31" s="94"/>
      <c r="N31" s="94"/>
      <c r="O31" s="94"/>
      <c r="P31" s="123"/>
      <c r="Q31"/>
      <c r="R31"/>
    </row>
    <row r="32" spans="2:18">
      <c r="B32" s="156"/>
      <c r="C32" s="249"/>
      <c r="D32" s="108"/>
      <c r="E32" s="238"/>
      <c r="F32" s="242"/>
      <c r="G32" s="246"/>
      <c r="H32" s="101"/>
      <c r="I32" s="94"/>
      <c r="J32" s="94"/>
      <c r="K32" s="94"/>
      <c r="L32" s="94"/>
      <c r="M32" s="94"/>
      <c r="N32" s="94"/>
      <c r="O32" s="94"/>
      <c r="P32" s="123"/>
      <c r="Q32"/>
      <c r="R32"/>
    </row>
    <row r="33" spans="1:18">
      <c r="B33" s="156"/>
      <c r="C33" s="249"/>
      <c r="D33" s="108"/>
      <c r="E33" s="238"/>
      <c r="F33" s="242"/>
      <c r="G33" s="166"/>
      <c r="H33" s="101"/>
      <c r="I33" s="94"/>
      <c r="J33" s="94"/>
      <c r="K33" s="94"/>
      <c r="L33" s="94"/>
      <c r="M33" s="94"/>
      <c r="N33" s="94"/>
      <c r="O33" s="94"/>
      <c r="P33" s="123"/>
      <c r="Q33"/>
      <c r="R33"/>
    </row>
    <row r="34" spans="1:18">
      <c r="A34" s="112" t="s">
        <v>255</v>
      </c>
      <c r="B34" s="156"/>
      <c r="C34" s="248"/>
      <c r="D34" s="108"/>
      <c r="E34" s="238"/>
      <c r="F34" s="241"/>
      <c r="G34" s="246"/>
      <c r="H34" s="101"/>
      <c r="I34" s="94"/>
      <c r="J34" s="94"/>
      <c r="K34" s="94"/>
      <c r="L34" s="94"/>
      <c r="M34" s="94"/>
      <c r="N34" s="94"/>
      <c r="O34" s="94"/>
      <c r="P34"/>
      <c r="Q34"/>
      <c r="R34"/>
    </row>
    <row r="35" spans="1:18">
      <c r="B35" s="156"/>
      <c r="C35" s="248"/>
      <c r="D35" s="108"/>
      <c r="E35" s="238"/>
      <c r="F35" s="241"/>
      <c r="G35" s="246"/>
      <c r="H35" s="101"/>
      <c r="I35" s="94"/>
      <c r="J35" s="94"/>
      <c r="K35" s="94"/>
      <c r="L35" s="94"/>
      <c r="M35" s="94"/>
      <c r="N35" s="94"/>
      <c r="O35" s="94"/>
      <c r="P35"/>
      <c r="Q35"/>
      <c r="R35"/>
    </row>
    <row r="36" spans="1:18">
      <c r="B36" s="156"/>
      <c r="C36" s="248"/>
      <c r="D36" s="108"/>
      <c r="E36" s="238"/>
      <c r="F36" s="241"/>
      <c r="G36" s="246"/>
      <c r="H36" s="101"/>
      <c r="I36" s="94"/>
      <c r="J36" s="94"/>
      <c r="K36" s="94"/>
      <c r="L36" s="94"/>
      <c r="M36" s="94"/>
      <c r="N36" s="94"/>
      <c r="O36" s="94"/>
      <c r="P36"/>
      <c r="Q36"/>
      <c r="R36"/>
    </row>
    <row r="37" spans="1:18">
      <c r="B37" s="156"/>
      <c r="C37" s="248"/>
      <c r="D37" s="108"/>
      <c r="E37" s="238"/>
      <c r="F37" s="241"/>
      <c r="G37" s="246"/>
      <c r="H37" s="101"/>
      <c r="I37" s="94"/>
      <c r="J37" s="94"/>
      <c r="K37" s="94"/>
      <c r="L37" s="94"/>
      <c r="M37" s="94"/>
      <c r="N37" s="94"/>
      <c r="O37" s="94"/>
      <c r="P37" s="122"/>
      <c r="Q37"/>
      <c r="R37"/>
    </row>
    <row r="38" spans="1:18">
      <c r="B38" s="156"/>
      <c r="C38" s="248"/>
      <c r="D38" s="108"/>
      <c r="E38" s="238"/>
      <c r="F38" s="241"/>
      <c r="G38" s="246"/>
      <c r="H38" s="101"/>
      <c r="I38" s="94"/>
      <c r="J38" s="94"/>
      <c r="K38" s="94"/>
      <c r="L38" s="94"/>
      <c r="M38" s="94"/>
      <c r="N38" s="94"/>
      <c r="O38" s="94"/>
      <c r="P38" s="122"/>
      <c r="Q38"/>
      <c r="R38"/>
    </row>
    <row r="39" spans="1:18">
      <c r="B39" s="156"/>
      <c r="C39" s="248"/>
      <c r="D39" s="108"/>
      <c r="E39" s="238"/>
      <c r="F39" s="241"/>
      <c r="G39" s="246"/>
      <c r="H39" s="101"/>
      <c r="I39" s="94"/>
      <c r="J39" s="94"/>
      <c r="K39" s="94"/>
      <c r="L39" s="94"/>
      <c r="M39" s="94"/>
      <c r="N39" s="94"/>
      <c r="O39" s="94"/>
      <c r="P39"/>
      <c r="Q39"/>
      <c r="R39"/>
    </row>
    <row r="40" spans="1:18">
      <c r="B40" s="156"/>
      <c r="C40" s="248"/>
      <c r="D40" s="108"/>
      <c r="E40" s="238"/>
      <c r="F40" s="241"/>
      <c r="G40" s="246"/>
      <c r="H40" s="101"/>
      <c r="I40" s="94"/>
      <c r="J40" s="94"/>
      <c r="K40" s="94"/>
      <c r="L40" s="94"/>
      <c r="M40" s="94"/>
      <c r="N40" s="94"/>
      <c r="O40" s="94"/>
      <c r="P40" s="122"/>
      <c r="Q40"/>
      <c r="R40"/>
    </row>
    <row r="41" spans="1:18">
      <c r="B41" s="156"/>
      <c r="C41" s="248"/>
      <c r="D41" s="108"/>
      <c r="E41" s="238"/>
      <c r="F41" s="241"/>
      <c r="G41" s="246"/>
      <c r="H41" s="101"/>
      <c r="I41" s="94"/>
      <c r="J41" s="94"/>
      <c r="K41" s="94"/>
      <c r="L41" s="94"/>
      <c r="M41" s="94"/>
      <c r="N41" s="94"/>
      <c r="O41" s="94"/>
      <c r="P41" s="122"/>
      <c r="Q41"/>
      <c r="R41"/>
    </row>
    <row r="42" spans="1:18">
      <c r="B42" s="156"/>
      <c r="C42" s="248"/>
      <c r="D42" s="108"/>
      <c r="E42" s="238"/>
      <c r="F42" s="241"/>
      <c r="G42" s="246"/>
      <c r="H42" s="101"/>
      <c r="I42" s="94"/>
      <c r="J42" s="94"/>
      <c r="K42" s="94"/>
      <c r="L42" s="94"/>
      <c r="M42" s="94"/>
      <c r="N42" s="94"/>
      <c r="O42" s="94"/>
      <c r="P42" s="122"/>
      <c r="Q42"/>
      <c r="R42"/>
    </row>
    <row r="43" spans="1:18">
      <c r="B43" s="156"/>
      <c r="C43" s="248"/>
      <c r="D43" s="108"/>
      <c r="E43" s="238"/>
      <c r="F43" s="241"/>
      <c r="G43" s="246"/>
      <c r="H43" s="101"/>
      <c r="I43" s="94"/>
      <c r="J43" s="94"/>
      <c r="K43" s="94"/>
      <c r="L43" s="94"/>
      <c r="M43" s="94"/>
      <c r="N43" s="94"/>
      <c r="O43" s="94"/>
      <c r="P43" s="93"/>
      <c r="Q43"/>
      <c r="R43"/>
    </row>
    <row r="44" spans="1:18">
      <c r="B44" s="156"/>
      <c r="C44" s="248"/>
      <c r="D44" s="108"/>
      <c r="E44" s="238"/>
      <c r="F44" s="241"/>
      <c r="G44" s="246"/>
      <c r="H44" s="101"/>
      <c r="I44" s="94"/>
      <c r="J44" s="94"/>
      <c r="K44" s="94"/>
      <c r="L44" s="94"/>
      <c r="M44" s="94"/>
      <c r="N44" s="94"/>
      <c r="O44" s="94"/>
      <c r="P44" s="93"/>
      <c r="R44"/>
    </row>
    <row r="45" spans="1:18">
      <c r="B45" s="156"/>
      <c r="C45" s="251"/>
      <c r="D45" s="108"/>
      <c r="E45" s="238"/>
      <c r="F45" s="242"/>
      <c r="G45" s="246"/>
      <c r="H45" s="101"/>
      <c r="I45" s="94"/>
      <c r="J45" s="94"/>
      <c r="K45" s="94"/>
      <c r="L45" s="94"/>
      <c r="M45" s="94"/>
      <c r="N45" s="94"/>
      <c r="O45" s="94"/>
      <c r="P45" s="106"/>
      <c r="R45"/>
    </row>
    <row r="46" spans="1:18">
      <c r="B46" s="156"/>
      <c r="C46" s="248"/>
      <c r="D46" s="108"/>
      <c r="E46" s="238"/>
      <c r="F46" s="241"/>
      <c r="G46" s="246"/>
      <c r="H46" s="101"/>
      <c r="I46" s="94"/>
      <c r="J46" s="94"/>
      <c r="K46" s="94"/>
      <c r="L46" s="94"/>
      <c r="M46" s="94"/>
      <c r="N46" s="94"/>
      <c r="O46" s="94"/>
      <c r="P46" s="105"/>
      <c r="R46"/>
    </row>
    <row r="47" spans="1:18">
      <c r="B47" s="156"/>
      <c r="C47" s="248"/>
      <c r="D47" s="108"/>
      <c r="E47" s="238"/>
      <c r="F47" s="241"/>
      <c r="G47" s="246"/>
      <c r="H47" s="101"/>
      <c r="I47" s="94"/>
      <c r="J47" s="94"/>
      <c r="K47" s="94"/>
      <c r="L47" s="94"/>
      <c r="M47" s="94"/>
      <c r="N47" s="94"/>
      <c r="O47" s="94"/>
      <c r="P47" s="105"/>
      <c r="R47"/>
    </row>
    <row r="48" spans="1:18">
      <c r="B48" s="156"/>
      <c r="C48" s="248"/>
      <c r="D48" s="108"/>
      <c r="E48" s="238"/>
      <c r="F48" s="241"/>
      <c r="G48" s="246"/>
      <c r="H48" s="101"/>
      <c r="I48" s="94"/>
      <c r="J48" s="94"/>
      <c r="K48" s="94"/>
      <c r="L48" s="94"/>
      <c r="M48" s="94"/>
      <c r="N48" s="94"/>
      <c r="O48" s="94"/>
      <c r="P48" s="105"/>
      <c r="R48"/>
    </row>
    <row r="49" spans="1:18">
      <c r="A49" s="112"/>
      <c r="B49" s="156"/>
      <c r="C49" s="253"/>
      <c r="D49" s="108"/>
      <c r="E49" s="239"/>
      <c r="F49" s="243"/>
      <c r="G49" s="246"/>
      <c r="H49" s="101"/>
      <c r="I49" s="94"/>
      <c r="J49" s="94"/>
      <c r="K49" s="94"/>
      <c r="L49" s="94"/>
      <c r="M49" s="94"/>
      <c r="N49" s="94"/>
      <c r="O49" s="94"/>
      <c r="P49" s="106"/>
      <c r="R49"/>
    </row>
    <row r="50" spans="1:18">
      <c r="B50" s="156"/>
      <c r="C50" s="253"/>
      <c r="D50" s="108"/>
      <c r="E50" s="239"/>
      <c r="F50" s="243"/>
      <c r="G50" s="246"/>
      <c r="H50" s="101"/>
      <c r="I50" s="94"/>
      <c r="J50" s="94"/>
      <c r="K50" s="94"/>
      <c r="L50" s="94"/>
      <c r="M50" s="94"/>
      <c r="N50" s="94"/>
      <c r="O50" s="94"/>
      <c r="P50" s="106"/>
      <c r="R50"/>
    </row>
    <row r="51" spans="1:18">
      <c r="B51" s="156"/>
      <c r="C51" s="253"/>
      <c r="D51" s="108"/>
      <c r="E51" s="239"/>
      <c r="F51" s="243"/>
      <c r="G51" s="246"/>
      <c r="H51" s="101"/>
      <c r="I51" s="94"/>
      <c r="J51" s="94"/>
      <c r="K51" s="94"/>
      <c r="L51" s="94"/>
      <c r="M51" s="94"/>
      <c r="N51" s="94"/>
      <c r="O51" s="94"/>
      <c r="P51" s="111"/>
      <c r="R51"/>
    </row>
    <row r="52" spans="1:18">
      <c r="B52" s="156"/>
      <c r="C52" s="253"/>
      <c r="D52" s="108"/>
      <c r="E52" s="239"/>
      <c r="F52" s="243"/>
      <c r="G52" s="246"/>
      <c r="H52" s="101"/>
      <c r="I52" s="94"/>
      <c r="J52" s="94"/>
      <c r="K52" s="94"/>
      <c r="L52" s="94"/>
      <c r="M52" s="94"/>
      <c r="N52" s="94"/>
      <c r="O52" s="94"/>
      <c r="P52" s="111"/>
      <c r="R52"/>
    </row>
    <row r="53" spans="1:18">
      <c r="B53" s="156"/>
      <c r="C53" s="121"/>
      <c r="D53" s="108"/>
      <c r="E53" s="240"/>
      <c r="F53" s="118"/>
      <c r="G53" s="246"/>
      <c r="H53" s="101"/>
      <c r="I53" s="94"/>
      <c r="J53" s="94"/>
      <c r="K53" s="94"/>
      <c r="L53" s="94"/>
      <c r="M53" s="94"/>
      <c r="N53" s="94"/>
      <c r="O53" s="94"/>
      <c r="P53" s="93"/>
      <c r="R53"/>
    </row>
    <row r="54" spans="1:18">
      <c r="B54" s="156"/>
      <c r="C54" s="252"/>
      <c r="D54" s="108"/>
      <c r="E54" s="238"/>
      <c r="F54" s="244"/>
      <c r="G54" s="245"/>
      <c r="H54" s="101"/>
      <c r="I54" s="94"/>
      <c r="J54" s="94"/>
      <c r="K54" s="94"/>
      <c r="L54" s="94"/>
      <c r="M54" s="94"/>
      <c r="N54" s="94"/>
      <c r="O54" s="94"/>
      <c r="P54" s="93"/>
      <c r="R54"/>
    </row>
    <row r="55" spans="1:18">
      <c r="B55" s="156"/>
      <c r="C55" s="253"/>
      <c r="D55" s="108"/>
      <c r="E55" s="239"/>
      <c r="F55" s="243"/>
      <c r="G55" s="245"/>
      <c r="H55" s="119"/>
      <c r="I55" s="94"/>
      <c r="J55" s="94"/>
      <c r="K55" s="94"/>
      <c r="L55" s="94"/>
      <c r="M55" s="94"/>
      <c r="N55" s="94"/>
      <c r="O55" s="94"/>
      <c r="P55" s="106"/>
      <c r="R55"/>
    </row>
    <row r="56" spans="1:18">
      <c r="B56" s="156"/>
      <c r="C56" s="252"/>
      <c r="D56" s="108"/>
      <c r="E56" s="238"/>
      <c r="F56" s="244"/>
      <c r="G56" s="245"/>
      <c r="H56" s="101"/>
      <c r="I56" s="94"/>
      <c r="J56" s="94"/>
      <c r="K56" s="94"/>
      <c r="L56" s="94"/>
      <c r="M56" s="94"/>
      <c r="N56" s="94"/>
      <c r="O56" s="94"/>
      <c r="P56" s="93"/>
      <c r="R56"/>
    </row>
    <row r="57" spans="1:18">
      <c r="B57" s="156"/>
      <c r="C57" s="253"/>
      <c r="D57" s="108"/>
      <c r="E57" s="239"/>
      <c r="F57" s="243"/>
      <c r="G57" s="245"/>
      <c r="H57" s="119"/>
      <c r="I57" s="94"/>
      <c r="J57" s="94"/>
      <c r="K57" s="94"/>
      <c r="L57" s="94"/>
      <c r="M57" s="94"/>
      <c r="N57" s="94"/>
      <c r="O57" s="94"/>
      <c r="P57" s="111"/>
      <c r="Q57" s="95"/>
      <c r="R57"/>
    </row>
    <row r="58" spans="1:18">
      <c r="B58" s="412"/>
      <c r="C58" s="413"/>
      <c r="D58" s="108"/>
      <c r="E58" s="414"/>
      <c r="F58" s="415"/>
      <c r="G58" s="246"/>
      <c r="H58" s="107"/>
      <c r="I58" s="94"/>
      <c r="J58" s="94"/>
      <c r="K58" s="94"/>
      <c r="L58" s="94"/>
      <c r="M58" s="94"/>
      <c r="N58" s="94"/>
      <c r="O58" s="94"/>
      <c r="P58" s="105"/>
      <c r="Q58" s="95"/>
      <c r="R58" s="95"/>
    </row>
    <row r="59" spans="1:18">
      <c r="B59" s="111"/>
      <c r="C59" s="111">
        <f>SUBTOTAL(103,Tabla2[Apellido y Nombre])</f>
        <v>0</v>
      </c>
      <c r="D59" s="111"/>
      <c r="E59"/>
      <c r="F59" s="111"/>
      <c r="G59" s="111"/>
      <c r="H59" s="254"/>
      <c r="I59" s="255"/>
      <c r="J59" s="255"/>
      <c r="K59" s="255"/>
      <c r="L59" s="257"/>
      <c r="M59" s="254"/>
      <c r="N59" s="111"/>
      <c r="O59" s="111"/>
      <c r="P59" s="236"/>
      <c r="Q59" s="95"/>
      <c r="R59" s="95"/>
    </row>
    <row r="60" spans="1:18">
      <c r="B60" s="237"/>
      <c r="C60" s="22"/>
      <c r="E60" s="109"/>
      <c r="F60" s="109"/>
      <c r="G60" s="47"/>
      <c r="H60" s="47"/>
      <c r="J60" s="120"/>
      <c r="K60" s="47"/>
      <c r="L60" s="47"/>
      <c r="O60" s="95"/>
      <c r="P60" s="95"/>
      <c r="Q60" s="95"/>
      <c r="R60" s="95"/>
    </row>
    <row r="61" spans="1:18">
      <c r="B61" s="237"/>
      <c r="C61" s="22"/>
      <c r="E61" s="109"/>
      <c r="F61" s="109"/>
      <c r="G61" s="47"/>
      <c r="H61" s="47"/>
      <c r="K61" s="47"/>
      <c r="L61" s="47"/>
      <c r="O61" s="95"/>
      <c r="P61" s="95"/>
      <c r="Q61" s="95"/>
      <c r="R61" s="95"/>
    </row>
    <row r="62" spans="1:18">
      <c r="B62" s="237"/>
      <c r="C62" s="22"/>
      <c r="E62" s="109"/>
      <c r="F62" s="109"/>
      <c r="G62" s="47"/>
      <c r="H62" s="47"/>
      <c r="K62" s="47"/>
      <c r="L62" s="47"/>
      <c r="O62" s="95"/>
      <c r="P62" s="95"/>
      <c r="Q62" s="95"/>
      <c r="R62" s="95"/>
    </row>
    <row r="63" spans="1:18">
      <c r="B63" s="237"/>
      <c r="C63" s="22"/>
      <c r="E63" s="109"/>
      <c r="F63" s="109"/>
      <c r="G63" s="47"/>
      <c r="H63" s="47"/>
      <c r="K63" s="47"/>
      <c r="L63" s="47"/>
      <c r="O63" s="95"/>
      <c r="P63" s="95"/>
      <c r="Q63" s="95"/>
      <c r="R63" s="95"/>
    </row>
    <row r="64" spans="1:18">
      <c r="B64" s="237"/>
      <c r="C64" s="22"/>
      <c r="E64" s="109"/>
      <c r="F64" s="109"/>
      <c r="G64" s="38"/>
      <c r="H64" s="38"/>
      <c r="K64" s="38"/>
      <c r="L64" s="38"/>
      <c r="O64" s="95"/>
      <c r="P64" s="95"/>
      <c r="Q64" s="95"/>
      <c r="R64" s="95"/>
    </row>
    <row r="65" spans="2:18">
      <c r="B65" s="237"/>
      <c r="C65" s="22"/>
      <c r="E65" s="109"/>
      <c r="F65" s="109"/>
      <c r="G65" s="38"/>
      <c r="H65" s="38"/>
      <c r="K65" s="38"/>
      <c r="L65" s="38"/>
      <c r="O65" s="95"/>
      <c r="P65" s="95"/>
      <c r="Q65" s="95"/>
      <c r="R65" s="95"/>
    </row>
    <row r="66" spans="2:18">
      <c r="B66" s="237"/>
      <c r="C66" s="22"/>
      <c r="E66" s="109"/>
      <c r="F66" s="109"/>
      <c r="G66" s="38"/>
      <c r="H66" s="38"/>
      <c r="K66" s="38"/>
      <c r="L66" s="38"/>
      <c r="O66" s="95"/>
      <c r="P66" s="95"/>
      <c r="Q66" s="95"/>
      <c r="R66" s="95"/>
    </row>
    <row r="67" spans="2:18">
      <c r="B67" s="237"/>
      <c r="C67" s="22"/>
      <c r="E67" s="109"/>
      <c r="F67" s="109"/>
      <c r="G67" s="38"/>
      <c r="H67" s="38"/>
      <c r="K67" s="38"/>
      <c r="L67" s="38"/>
      <c r="O67" s="95"/>
      <c r="P67" s="95"/>
      <c r="Q67" s="95"/>
      <c r="R67" s="95"/>
    </row>
    <row r="68" spans="2:18">
      <c r="B68" s="237"/>
      <c r="C68" s="22"/>
      <c r="E68" s="109"/>
      <c r="F68" s="109"/>
      <c r="G68" s="38"/>
      <c r="H68" s="38"/>
      <c r="K68" s="38"/>
      <c r="L68" s="38"/>
      <c r="O68" s="95"/>
      <c r="P68" s="95"/>
      <c r="Q68" s="95"/>
      <c r="R68" s="95"/>
    </row>
    <row r="69" spans="2:18">
      <c r="B69" s="237"/>
      <c r="C69" s="22"/>
      <c r="E69" s="109"/>
      <c r="F69" s="109"/>
      <c r="G69" s="38"/>
      <c r="H69" s="38"/>
      <c r="K69" s="38"/>
      <c r="L69" s="38"/>
      <c r="O69" s="95"/>
      <c r="P69" s="95"/>
      <c r="Q69" s="95"/>
      <c r="R69" s="95"/>
    </row>
    <row r="70" spans="2:18">
      <c r="B70" s="237"/>
      <c r="C70" s="22"/>
      <c r="E70" s="109"/>
      <c r="F70" s="109"/>
      <c r="G70" s="38"/>
      <c r="H70" s="38"/>
      <c r="K70" s="38"/>
      <c r="L70" s="38"/>
      <c r="O70" s="95"/>
      <c r="P70" s="95"/>
      <c r="Q70" s="95"/>
      <c r="R70" s="95"/>
    </row>
    <row r="71" spans="2:18">
      <c r="B71" s="237"/>
      <c r="C71" s="22"/>
      <c r="E71" s="109"/>
      <c r="F71" s="109"/>
      <c r="G71" s="38"/>
      <c r="H71" s="38"/>
      <c r="K71" s="38"/>
      <c r="L71" s="38"/>
      <c r="O71" s="95"/>
      <c r="P71" s="95"/>
      <c r="Q71" s="95"/>
      <c r="R71" s="95"/>
    </row>
    <row r="72" spans="2:18">
      <c r="B72" s="237"/>
      <c r="C72" s="22"/>
      <c r="E72" s="109"/>
      <c r="F72" s="109"/>
      <c r="G72" s="38"/>
      <c r="H72" s="38"/>
      <c r="K72" s="38"/>
      <c r="L72" s="38"/>
      <c r="O72" s="95"/>
      <c r="P72" s="95"/>
      <c r="Q72" s="95"/>
      <c r="R72" s="95"/>
    </row>
    <row r="73" spans="2:18">
      <c r="B73" s="237"/>
      <c r="C73" s="22"/>
      <c r="E73" s="109"/>
      <c r="F73" s="109"/>
      <c r="G73" s="38"/>
      <c r="H73" s="38"/>
      <c r="K73" s="38"/>
      <c r="L73" s="38"/>
      <c r="O73" s="95"/>
      <c r="P73" s="95"/>
      <c r="Q73" s="95"/>
    </row>
    <row r="74" spans="2:18">
      <c r="B74" s="237"/>
      <c r="C74" s="22"/>
      <c r="E74" s="109"/>
      <c r="F74" s="109"/>
      <c r="G74" s="38"/>
      <c r="H74" s="38"/>
      <c r="K74" s="38"/>
      <c r="L74" s="38"/>
      <c r="O74" s="95"/>
      <c r="P74" s="95"/>
    </row>
    <row r="75" spans="2:18">
      <c r="B75" s="237"/>
      <c r="C75" s="22"/>
      <c r="E75" s="109"/>
      <c r="F75" s="109"/>
      <c r="G75" s="38"/>
      <c r="H75" s="38"/>
      <c r="K75" s="38"/>
      <c r="L75" s="38"/>
    </row>
  </sheetData>
  <phoneticPr fontId="2" type="noConversion"/>
  <pageMargins left="0.7" right="0.7" top="0.75" bottom="0.75" header="0.3" footer="0.3"/>
  <pageSetup paperSize="9" scale="23" orientation="portrait" r:id="rId1"/>
  <ignoredErrors>
    <ignoredError sqref="G2:G3" numberStoredAsText="1"/>
  </ignoredErrors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9"/>
  <sheetViews>
    <sheetView workbookViewId="0">
      <selection sqref="A1:XFD1048576"/>
    </sheetView>
  </sheetViews>
  <sheetFormatPr baseColWidth="10" defaultRowHeight="17.25"/>
  <cols>
    <col min="1" max="1" width="12.42578125" style="85" customWidth="1"/>
    <col min="2" max="2" width="51.7109375" customWidth="1"/>
    <col min="3" max="3" width="11.5703125" style="85"/>
    <col min="4" max="4" width="51.5703125" customWidth="1"/>
    <col min="5" max="5" width="14" style="85" customWidth="1"/>
    <col min="6" max="6" width="54.28515625" customWidth="1"/>
    <col min="7" max="7" width="11.42578125" customWidth="1"/>
  </cols>
  <sheetData>
    <row r="1" spans="1:6">
      <c r="A1" s="79" t="s">
        <v>34</v>
      </c>
      <c r="B1" s="80" t="s">
        <v>1</v>
      </c>
      <c r="C1" s="379" t="s">
        <v>95</v>
      </c>
      <c r="D1" s="380"/>
      <c r="E1" s="379" t="s">
        <v>96</v>
      </c>
      <c r="F1" s="380"/>
    </row>
    <row r="2" spans="1:6">
      <c r="A2" s="81" t="s">
        <v>32</v>
      </c>
      <c r="B2" s="82" t="s">
        <v>2</v>
      </c>
      <c r="C2" s="81" t="s">
        <v>97</v>
      </c>
      <c r="D2" s="82" t="s">
        <v>14</v>
      </c>
      <c r="E2" s="81" t="s">
        <v>98</v>
      </c>
      <c r="F2" s="82" t="s">
        <v>14</v>
      </c>
    </row>
    <row r="3" spans="1:6">
      <c r="A3" s="81" t="s">
        <v>44</v>
      </c>
      <c r="B3" s="82" t="s">
        <v>99</v>
      </c>
      <c r="C3" s="81" t="s">
        <v>100</v>
      </c>
      <c r="D3" s="82" t="s">
        <v>63</v>
      </c>
      <c r="E3" s="81" t="s">
        <v>101</v>
      </c>
      <c r="F3" s="82" t="s">
        <v>63</v>
      </c>
    </row>
    <row r="4" spans="1:6">
      <c r="A4" s="81" t="s">
        <v>45</v>
      </c>
      <c r="B4" s="82" t="s">
        <v>102</v>
      </c>
      <c r="C4" s="81" t="s">
        <v>103</v>
      </c>
      <c r="D4" s="82" t="s">
        <v>13</v>
      </c>
      <c r="E4" s="81" t="s">
        <v>104</v>
      </c>
      <c r="F4" s="82" t="s">
        <v>13</v>
      </c>
    </row>
    <row r="5" spans="1:6">
      <c r="A5" s="81" t="s">
        <v>46</v>
      </c>
      <c r="B5" s="82" t="s">
        <v>105</v>
      </c>
      <c r="C5" s="81" t="s">
        <v>106</v>
      </c>
      <c r="D5" s="82" t="s">
        <v>107</v>
      </c>
      <c r="E5" s="81" t="s">
        <v>108</v>
      </c>
      <c r="F5" s="82" t="s">
        <v>107</v>
      </c>
    </row>
    <row r="6" spans="1:6">
      <c r="A6" s="81" t="s">
        <v>36</v>
      </c>
      <c r="B6" s="82" t="s">
        <v>109</v>
      </c>
      <c r="C6" s="81" t="s">
        <v>110</v>
      </c>
      <c r="D6" s="82" t="s">
        <v>111</v>
      </c>
      <c r="E6" s="81" t="s">
        <v>112</v>
      </c>
      <c r="F6" s="82" t="s">
        <v>111</v>
      </c>
    </row>
    <row r="7" spans="1:6" ht="18" thickBot="1">
      <c r="A7" s="81" t="s">
        <v>33</v>
      </c>
      <c r="B7" s="82" t="s">
        <v>8</v>
      </c>
      <c r="C7" s="83" t="s">
        <v>113</v>
      </c>
      <c r="D7" s="84" t="s">
        <v>114</v>
      </c>
      <c r="E7" s="83" t="s">
        <v>115</v>
      </c>
      <c r="F7" s="84" t="s">
        <v>114</v>
      </c>
    </row>
    <row r="8" spans="1:6" ht="18" thickBot="1">
      <c r="A8" s="83" t="s">
        <v>116</v>
      </c>
      <c r="B8" s="84" t="s">
        <v>117</v>
      </c>
      <c r="C8" s="379" t="s">
        <v>118</v>
      </c>
      <c r="D8" s="380"/>
      <c r="E8" s="379" t="s">
        <v>119</v>
      </c>
      <c r="F8" s="380"/>
    </row>
    <row r="9" spans="1:6">
      <c r="A9" s="379" t="s">
        <v>120</v>
      </c>
      <c r="B9" s="380"/>
      <c r="C9" s="81" t="s">
        <v>121</v>
      </c>
      <c r="D9" s="82" t="s">
        <v>14</v>
      </c>
      <c r="E9" s="81" t="s">
        <v>122</v>
      </c>
      <c r="F9" s="82" t="s">
        <v>14</v>
      </c>
    </row>
    <row r="10" spans="1:6">
      <c r="A10" s="81" t="s">
        <v>123</v>
      </c>
      <c r="B10" s="82" t="s">
        <v>14</v>
      </c>
      <c r="C10" s="81" t="s">
        <v>124</v>
      </c>
      <c r="D10" s="82" t="s">
        <v>63</v>
      </c>
      <c r="E10" s="81" t="s">
        <v>125</v>
      </c>
      <c r="F10" s="82" t="s">
        <v>63</v>
      </c>
    </row>
    <row r="11" spans="1:6">
      <c r="A11" s="81" t="s">
        <v>126</v>
      </c>
      <c r="B11" s="82" t="s">
        <v>63</v>
      </c>
      <c r="C11" s="81" t="s">
        <v>127</v>
      </c>
      <c r="D11" s="82" t="s">
        <v>13</v>
      </c>
      <c r="E11" s="81" t="s">
        <v>128</v>
      </c>
      <c r="F11" s="82" t="s">
        <v>13</v>
      </c>
    </row>
    <row r="12" spans="1:6">
      <c r="A12" s="81" t="s">
        <v>129</v>
      </c>
      <c r="B12" s="82" t="s">
        <v>13</v>
      </c>
      <c r="C12" s="81" t="s">
        <v>130</v>
      </c>
      <c r="D12" s="82" t="s">
        <v>107</v>
      </c>
      <c r="E12" s="81" t="s">
        <v>131</v>
      </c>
      <c r="F12" s="82" t="s">
        <v>107</v>
      </c>
    </row>
    <row r="13" spans="1:6">
      <c r="A13" s="81" t="s">
        <v>132</v>
      </c>
      <c r="B13" s="82" t="s">
        <v>107</v>
      </c>
      <c r="C13" s="81" t="s">
        <v>133</v>
      </c>
      <c r="D13" s="82" t="s">
        <v>111</v>
      </c>
      <c r="E13" s="81" t="s">
        <v>134</v>
      </c>
      <c r="F13" s="82" t="s">
        <v>111</v>
      </c>
    </row>
    <row r="14" spans="1:6" ht="18" thickBot="1">
      <c r="A14" s="81" t="s">
        <v>135</v>
      </c>
      <c r="B14" s="82" t="s">
        <v>111</v>
      </c>
      <c r="C14" s="83" t="s">
        <v>136</v>
      </c>
      <c r="D14" s="84" t="s">
        <v>114</v>
      </c>
      <c r="E14" s="83" t="s">
        <v>137</v>
      </c>
      <c r="F14" s="84" t="s">
        <v>114</v>
      </c>
    </row>
    <row r="15" spans="1:6" ht="18" thickBot="1">
      <c r="A15" s="83" t="s">
        <v>138</v>
      </c>
      <c r="B15" s="84" t="s">
        <v>114</v>
      </c>
      <c r="C15" s="379" t="s">
        <v>139</v>
      </c>
      <c r="D15" s="380"/>
      <c r="E15" s="379" t="s">
        <v>140</v>
      </c>
      <c r="F15" s="380"/>
    </row>
    <row r="16" spans="1:6">
      <c r="A16" s="379" t="s">
        <v>141</v>
      </c>
      <c r="B16" s="380"/>
      <c r="C16" s="81" t="s">
        <v>142</v>
      </c>
      <c r="D16" s="82" t="s">
        <v>14</v>
      </c>
      <c r="E16" s="81" t="s">
        <v>143</v>
      </c>
      <c r="F16" s="82" t="s">
        <v>14</v>
      </c>
    </row>
    <row r="17" spans="1:6">
      <c r="A17" s="81" t="s">
        <v>144</v>
      </c>
      <c r="B17" s="82" t="s">
        <v>14</v>
      </c>
      <c r="C17" s="81" t="s">
        <v>145</v>
      </c>
      <c r="D17" s="82" t="s">
        <v>63</v>
      </c>
      <c r="E17" s="81" t="s">
        <v>146</v>
      </c>
      <c r="F17" s="82" t="s">
        <v>63</v>
      </c>
    </row>
    <row r="18" spans="1:6">
      <c r="A18" s="81" t="s">
        <v>147</v>
      </c>
      <c r="B18" s="82" t="s">
        <v>63</v>
      </c>
      <c r="C18" s="81" t="s">
        <v>148</v>
      </c>
      <c r="D18" s="82" t="s">
        <v>13</v>
      </c>
      <c r="E18" s="81" t="s">
        <v>149</v>
      </c>
      <c r="F18" s="82" t="s">
        <v>13</v>
      </c>
    </row>
    <row r="19" spans="1:6">
      <c r="A19" s="81" t="s">
        <v>150</v>
      </c>
      <c r="B19" s="82" t="s">
        <v>13</v>
      </c>
      <c r="C19" s="81" t="s">
        <v>151</v>
      </c>
      <c r="D19" s="82" t="s">
        <v>107</v>
      </c>
      <c r="E19" s="81" t="s">
        <v>152</v>
      </c>
      <c r="F19" s="82" t="s">
        <v>107</v>
      </c>
    </row>
    <row r="20" spans="1:6">
      <c r="A20" s="81" t="s">
        <v>153</v>
      </c>
      <c r="B20" s="82" t="s">
        <v>107</v>
      </c>
      <c r="C20" s="81" t="s">
        <v>154</v>
      </c>
      <c r="D20" s="82" t="s">
        <v>111</v>
      </c>
      <c r="E20" s="81" t="s">
        <v>155</v>
      </c>
      <c r="F20" s="82" t="s">
        <v>111</v>
      </c>
    </row>
    <row r="21" spans="1:6" ht="18" thickBot="1">
      <c r="A21" s="81" t="s">
        <v>156</v>
      </c>
      <c r="B21" s="82" t="s">
        <v>111</v>
      </c>
      <c r="C21" s="83" t="s">
        <v>157</v>
      </c>
      <c r="D21" s="84" t="s">
        <v>114</v>
      </c>
      <c r="E21" s="83" t="s">
        <v>158</v>
      </c>
      <c r="F21" s="84" t="s">
        <v>114</v>
      </c>
    </row>
    <row r="22" spans="1:6" ht="18" thickBot="1">
      <c r="A22" s="83" t="s">
        <v>159</v>
      </c>
      <c r="B22" s="84" t="s">
        <v>114</v>
      </c>
      <c r="C22" s="379" t="s">
        <v>160</v>
      </c>
      <c r="D22" s="380"/>
      <c r="E22" s="379" t="s">
        <v>161</v>
      </c>
      <c r="F22" s="380"/>
    </row>
    <row r="23" spans="1:6">
      <c r="A23" s="379" t="s">
        <v>162</v>
      </c>
      <c r="B23" s="380"/>
      <c r="C23" s="81" t="s">
        <v>163</v>
      </c>
      <c r="D23" s="82" t="s">
        <v>14</v>
      </c>
      <c r="E23" s="81" t="s">
        <v>164</v>
      </c>
      <c r="F23" s="82" t="s">
        <v>14</v>
      </c>
    </row>
    <row r="24" spans="1:6">
      <c r="A24" s="81" t="s">
        <v>165</v>
      </c>
      <c r="B24" s="82" t="s">
        <v>14</v>
      </c>
      <c r="C24" s="81" t="s">
        <v>166</v>
      </c>
      <c r="D24" s="82" t="s">
        <v>63</v>
      </c>
      <c r="E24" s="81" t="s">
        <v>167</v>
      </c>
      <c r="F24" s="82" t="s">
        <v>63</v>
      </c>
    </row>
    <row r="25" spans="1:6">
      <c r="A25" s="81" t="s">
        <v>168</v>
      </c>
      <c r="B25" s="82" t="s">
        <v>63</v>
      </c>
      <c r="C25" s="81" t="s">
        <v>169</v>
      </c>
      <c r="D25" s="82" t="s">
        <v>13</v>
      </c>
      <c r="E25" s="81" t="s">
        <v>170</v>
      </c>
      <c r="F25" s="82" t="s">
        <v>13</v>
      </c>
    </row>
    <row r="26" spans="1:6">
      <c r="A26" s="81" t="s">
        <v>171</v>
      </c>
      <c r="B26" s="82" t="s">
        <v>13</v>
      </c>
      <c r="C26" s="81" t="s">
        <v>172</v>
      </c>
      <c r="D26" s="82" t="s">
        <v>107</v>
      </c>
      <c r="E26" s="81" t="s">
        <v>173</v>
      </c>
      <c r="F26" s="82" t="s">
        <v>107</v>
      </c>
    </row>
    <row r="27" spans="1:6">
      <c r="A27" s="81" t="s">
        <v>174</v>
      </c>
      <c r="B27" s="82" t="s">
        <v>107</v>
      </c>
      <c r="C27" s="81" t="s">
        <v>175</v>
      </c>
      <c r="D27" s="82" t="s">
        <v>111</v>
      </c>
      <c r="E27" s="81" t="s">
        <v>176</v>
      </c>
      <c r="F27" s="82" t="s">
        <v>111</v>
      </c>
    </row>
    <row r="28" spans="1:6" ht="18" thickBot="1">
      <c r="A28" s="81" t="s">
        <v>177</v>
      </c>
      <c r="B28" s="82" t="s">
        <v>111</v>
      </c>
      <c r="C28" s="83" t="s">
        <v>178</v>
      </c>
      <c r="D28" s="84" t="s">
        <v>114</v>
      </c>
      <c r="E28" s="83" t="s">
        <v>179</v>
      </c>
      <c r="F28" s="84" t="s">
        <v>114</v>
      </c>
    </row>
    <row r="29" spans="1:6" ht="18" thickBot="1">
      <c r="A29" s="83" t="s">
        <v>180</v>
      </c>
      <c r="B29" s="84" t="s">
        <v>114</v>
      </c>
      <c r="C29" s="379" t="s">
        <v>181</v>
      </c>
      <c r="D29" s="380"/>
      <c r="E29" s="379" t="s">
        <v>182</v>
      </c>
      <c r="F29" s="380"/>
    </row>
    <row r="30" spans="1:6">
      <c r="A30" s="379" t="s">
        <v>183</v>
      </c>
      <c r="B30" s="380"/>
      <c r="C30" s="81" t="s">
        <v>184</v>
      </c>
      <c r="D30" s="82" t="s">
        <v>14</v>
      </c>
      <c r="E30" s="81" t="s">
        <v>185</v>
      </c>
      <c r="F30" s="82" t="s">
        <v>14</v>
      </c>
    </row>
    <row r="31" spans="1:6">
      <c r="A31" s="81" t="s">
        <v>186</v>
      </c>
      <c r="B31" s="82" t="s">
        <v>14</v>
      </c>
      <c r="C31" s="81" t="s">
        <v>187</v>
      </c>
      <c r="D31" s="82" t="s">
        <v>63</v>
      </c>
      <c r="E31" s="81" t="s">
        <v>188</v>
      </c>
      <c r="F31" s="82" t="s">
        <v>63</v>
      </c>
    </row>
    <row r="32" spans="1:6">
      <c r="A32" s="81" t="s">
        <v>189</v>
      </c>
      <c r="B32" s="82" t="s">
        <v>63</v>
      </c>
      <c r="C32" s="81" t="s">
        <v>190</v>
      </c>
      <c r="D32" s="82" t="s">
        <v>13</v>
      </c>
      <c r="E32" s="81" t="s">
        <v>191</v>
      </c>
      <c r="F32" s="82" t="s">
        <v>13</v>
      </c>
    </row>
    <row r="33" spans="1:6">
      <c r="A33" s="81" t="s">
        <v>192</v>
      </c>
      <c r="B33" s="82" t="s">
        <v>13</v>
      </c>
      <c r="C33" s="81" t="s">
        <v>193</v>
      </c>
      <c r="D33" s="82" t="s">
        <v>107</v>
      </c>
      <c r="E33" s="81" t="s">
        <v>194</v>
      </c>
      <c r="F33" s="82" t="s">
        <v>107</v>
      </c>
    </row>
    <row r="34" spans="1:6">
      <c r="A34" s="81" t="s">
        <v>195</v>
      </c>
      <c r="B34" s="82" t="s">
        <v>107</v>
      </c>
      <c r="C34" s="81" t="s">
        <v>196</v>
      </c>
      <c r="D34" s="82" t="s">
        <v>111</v>
      </c>
      <c r="E34" s="81" t="s">
        <v>197</v>
      </c>
      <c r="F34" s="82" t="s">
        <v>111</v>
      </c>
    </row>
    <row r="35" spans="1:6" ht="18" thickBot="1">
      <c r="A35" s="81" t="s">
        <v>198</v>
      </c>
      <c r="B35" s="82" t="s">
        <v>111</v>
      </c>
      <c r="C35" s="83" t="s">
        <v>199</v>
      </c>
      <c r="D35" s="84" t="s">
        <v>114</v>
      </c>
      <c r="E35" s="83" t="s">
        <v>200</v>
      </c>
      <c r="F35" s="84" t="s">
        <v>114</v>
      </c>
    </row>
    <row r="36" spans="1:6" ht="18" thickBot="1">
      <c r="A36" s="83" t="s">
        <v>201</v>
      </c>
      <c r="B36" s="84" t="s">
        <v>114</v>
      </c>
      <c r="C36" s="379" t="s">
        <v>202</v>
      </c>
      <c r="D36" s="380"/>
      <c r="E36" s="379" t="s">
        <v>203</v>
      </c>
      <c r="F36" s="380"/>
    </row>
    <row r="37" spans="1:6">
      <c r="A37" s="379" t="s">
        <v>204</v>
      </c>
      <c r="B37" s="380"/>
      <c r="C37" s="81" t="s">
        <v>205</v>
      </c>
      <c r="D37" s="82" t="s">
        <v>14</v>
      </c>
      <c r="E37" s="81" t="s">
        <v>206</v>
      </c>
      <c r="F37" s="82" t="s">
        <v>14</v>
      </c>
    </row>
    <row r="38" spans="1:6">
      <c r="A38" s="81" t="s">
        <v>207</v>
      </c>
      <c r="B38" s="82" t="s">
        <v>14</v>
      </c>
      <c r="C38" s="81" t="s">
        <v>208</v>
      </c>
      <c r="D38" s="82" t="s">
        <v>63</v>
      </c>
      <c r="E38" s="81" t="s">
        <v>209</v>
      </c>
      <c r="F38" s="82" t="s">
        <v>63</v>
      </c>
    </row>
    <row r="39" spans="1:6">
      <c r="A39" s="81" t="s">
        <v>210</v>
      </c>
      <c r="B39" s="82" t="s">
        <v>63</v>
      </c>
      <c r="C39" s="81" t="s">
        <v>211</v>
      </c>
      <c r="D39" s="82" t="s">
        <v>13</v>
      </c>
      <c r="E39" s="81" t="s">
        <v>212</v>
      </c>
      <c r="F39" s="82" t="s">
        <v>13</v>
      </c>
    </row>
    <row r="40" spans="1:6">
      <c r="A40" s="81" t="s">
        <v>213</v>
      </c>
      <c r="B40" s="82" t="s">
        <v>13</v>
      </c>
      <c r="C40" s="81" t="s">
        <v>214</v>
      </c>
      <c r="D40" s="82" t="s">
        <v>107</v>
      </c>
      <c r="E40" s="81" t="s">
        <v>215</v>
      </c>
      <c r="F40" s="82" t="s">
        <v>107</v>
      </c>
    </row>
    <row r="41" spans="1:6">
      <c r="A41" s="81" t="s">
        <v>216</v>
      </c>
      <c r="B41" s="82" t="s">
        <v>107</v>
      </c>
      <c r="C41" s="81" t="s">
        <v>217</v>
      </c>
      <c r="D41" s="82" t="s">
        <v>111</v>
      </c>
      <c r="E41" s="81" t="s">
        <v>218</v>
      </c>
      <c r="F41" s="82" t="s">
        <v>111</v>
      </c>
    </row>
    <row r="42" spans="1:6" ht="18" thickBot="1">
      <c r="A42" s="81" t="s">
        <v>219</v>
      </c>
      <c r="B42" s="82" t="s">
        <v>111</v>
      </c>
      <c r="C42" s="83" t="s">
        <v>220</v>
      </c>
      <c r="D42" s="84" t="s">
        <v>114</v>
      </c>
      <c r="E42" s="83" t="s">
        <v>221</v>
      </c>
      <c r="F42" s="84" t="s">
        <v>114</v>
      </c>
    </row>
    <row r="43" spans="1:6" ht="18" thickBot="1">
      <c r="A43" s="83" t="s">
        <v>222</v>
      </c>
      <c r="B43" s="84" t="s">
        <v>114</v>
      </c>
      <c r="E43" s="379" t="s">
        <v>223</v>
      </c>
      <c r="F43" s="380"/>
    </row>
    <row r="44" spans="1:6">
      <c r="A44" s="379" t="s">
        <v>224</v>
      </c>
      <c r="B44" s="380"/>
      <c r="E44" s="81" t="s">
        <v>225</v>
      </c>
      <c r="F44" s="82" t="s">
        <v>14</v>
      </c>
    </row>
    <row r="45" spans="1:6">
      <c r="A45" s="81" t="s">
        <v>226</v>
      </c>
      <c r="B45" s="82" t="s">
        <v>14</v>
      </c>
      <c r="E45" s="81" t="s">
        <v>227</v>
      </c>
      <c r="F45" s="82" t="s">
        <v>63</v>
      </c>
    </row>
    <row r="46" spans="1:6">
      <c r="A46" s="81" t="s">
        <v>228</v>
      </c>
      <c r="B46" s="82" t="s">
        <v>63</v>
      </c>
      <c r="E46" s="81" t="s">
        <v>229</v>
      </c>
      <c r="F46" s="82" t="s">
        <v>13</v>
      </c>
    </row>
    <row r="47" spans="1:6">
      <c r="A47" s="81" t="s">
        <v>230</v>
      </c>
      <c r="B47" s="82" t="s">
        <v>13</v>
      </c>
      <c r="E47" s="81" t="s">
        <v>231</v>
      </c>
      <c r="F47" s="82" t="s">
        <v>107</v>
      </c>
    </row>
    <row r="48" spans="1:6">
      <c r="A48" s="81" t="s">
        <v>232</v>
      </c>
      <c r="B48" s="82" t="s">
        <v>107</v>
      </c>
      <c r="E48" s="81" t="s">
        <v>233</v>
      </c>
      <c r="F48" s="82" t="s">
        <v>111</v>
      </c>
    </row>
    <row r="49" spans="1:6" ht="18" thickBot="1">
      <c r="A49" s="81" t="s">
        <v>234</v>
      </c>
      <c r="B49" s="82" t="s">
        <v>111</v>
      </c>
      <c r="E49" s="83" t="s">
        <v>235</v>
      </c>
      <c r="F49" s="84" t="s">
        <v>114</v>
      </c>
    </row>
    <row r="50" spans="1:6" ht="18" thickBot="1">
      <c r="A50" s="83" t="s">
        <v>236</v>
      </c>
      <c r="B50" s="84" t="s">
        <v>114</v>
      </c>
    </row>
    <row r="92" spans="1:2">
      <c r="A92" s="381"/>
      <c r="B92" s="381"/>
    </row>
    <row r="99" spans="1:2">
      <c r="A99" s="381"/>
      <c r="B99" s="381"/>
    </row>
  </sheetData>
  <mergeCells count="21">
    <mergeCell ref="C1:D1"/>
    <mergeCell ref="E1:F1"/>
    <mergeCell ref="C8:D8"/>
    <mergeCell ref="E8:F8"/>
    <mergeCell ref="A9:B9"/>
    <mergeCell ref="A16:B16"/>
    <mergeCell ref="C22:D22"/>
    <mergeCell ref="E22:F22"/>
    <mergeCell ref="A23:B23"/>
    <mergeCell ref="C15:D15"/>
    <mergeCell ref="E15:F15"/>
    <mergeCell ref="C29:D29"/>
    <mergeCell ref="E29:F29"/>
    <mergeCell ref="A92:B92"/>
    <mergeCell ref="A99:B99"/>
    <mergeCell ref="A30:B30"/>
    <mergeCell ref="C36:D36"/>
    <mergeCell ref="E36:F36"/>
    <mergeCell ref="A37:B37"/>
    <mergeCell ref="E43:F43"/>
    <mergeCell ref="A44:B4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57"/>
  <sheetViews>
    <sheetView workbookViewId="0">
      <selection activeCell="C17" sqref="C17"/>
    </sheetView>
  </sheetViews>
  <sheetFormatPr baseColWidth="10" defaultRowHeight="12.75"/>
  <cols>
    <col min="1" max="1" width="5.42578125" customWidth="1"/>
    <col min="3" max="3" width="45.42578125" customWidth="1"/>
  </cols>
  <sheetData>
    <row r="1" spans="1:5" ht="15">
      <c r="B1" s="261" t="s">
        <v>733</v>
      </c>
      <c r="C1" s="261"/>
      <c r="D1" s="261"/>
      <c r="E1" s="261"/>
    </row>
    <row r="2" spans="1:5">
      <c r="B2" s="258" t="s">
        <v>698</v>
      </c>
      <c r="C2" s="258" t="s">
        <v>735</v>
      </c>
    </row>
    <row r="3" spans="1:5">
      <c r="A3">
        <v>1</v>
      </c>
    </row>
    <row r="4" spans="1:5">
      <c r="A4">
        <v>2</v>
      </c>
    </row>
    <row r="5" spans="1:5">
      <c r="A5">
        <v>3</v>
      </c>
    </row>
    <row r="6" spans="1:5">
      <c r="A6">
        <v>4</v>
      </c>
    </row>
    <row r="7" spans="1:5">
      <c r="B7" s="258" t="s">
        <v>734</v>
      </c>
      <c r="C7" s="260" t="s">
        <v>736</v>
      </c>
    </row>
    <row r="8" spans="1:5">
      <c r="A8">
        <v>1</v>
      </c>
      <c r="B8" s="262" t="s">
        <v>559</v>
      </c>
    </row>
    <row r="9" spans="1:5">
      <c r="A9" s="416"/>
      <c r="B9" s="416"/>
    </row>
    <row r="10" spans="1:5">
      <c r="A10" s="416"/>
      <c r="B10" s="416"/>
    </row>
    <row r="11" spans="1:5">
      <c r="A11" s="416"/>
      <c r="B11" s="416"/>
    </row>
    <row r="12" spans="1:5">
      <c r="A12" s="416"/>
      <c r="B12" s="416"/>
    </row>
    <row r="13" spans="1:5">
      <c r="A13" s="416"/>
      <c r="B13" s="416"/>
    </row>
    <row r="14" spans="1:5">
      <c r="A14" s="416"/>
      <c r="B14" s="416"/>
    </row>
    <row r="15" spans="1:5">
      <c r="A15" s="416"/>
      <c r="B15" s="416"/>
    </row>
    <row r="16" spans="1:5">
      <c r="A16" s="416"/>
      <c r="B16" s="416"/>
    </row>
    <row r="17" spans="1:2">
      <c r="A17" s="416"/>
      <c r="B17" s="416"/>
    </row>
    <row r="18" spans="1:2">
      <c r="A18" s="416"/>
      <c r="B18" s="416"/>
    </row>
    <row r="19" spans="1:2">
      <c r="A19" s="416"/>
      <c r="B19" s="416"/>
    </row>
    <row r="20" spans="1:2">
      <c r="A20" s="416"/>
      <c r="B20" s="416"/>
    </row>
    <row r="21" spans="1:2">
      <c r="A21" s="416"/>
      <c r="B21" s="416"/>
    </row>
    <row r="22" spans="1:2">
      <c r="A22" s="416"/>
      <c r="B22" s="416"/>
    </row>
    <row r="23" spans="1:2">
      <c r="A23" s="416"/>
      <c r="B23" s="416"/>
    </row>
    <row r="24" spans="1:2">
      <c r="A24" s="416"/>
      <c r="B24" s="416"/>
    </row>
    <row r="25" spans="1:2">
      <c r="A25" s="416"/>
      <c r="B25" s="416"/>
    </row>
    <row r="26" spans="1:2">
      <c r="A26" s="416"/>
      <c r="B26" s="416"/>
    </row>
    <row r="27" spans="1:2">
      <c r="A27" s="416"/>
      <c r="B27" s="126"/>
    </row>
    <row r="28" spans="1:2">
      <c r="A28" s="416"/>
      <c r="B28" s="416"/>
    </row>
    <row r="29" spans="1:2">
      <c r="A29" s="416"/>
      <c r="B29" s="416"/>
    </row>
    <row r="30" spans="1:2">
      <c r="A30" s="416"/>
      <c r="B30" s="416"/>
    </row>
    <row r="31" spans="1:2">
      <c r="A31" s="416"/>
      <c r="B31" s="416"/>
    </row>
    <row r="32" spans="1:2">
      <c r="A32" s="416"/>
      <c r="B32" s="416"/>
    </row>
    <row r="33" spans="1:3">
      <c r="A33" s="416"/>
      <c r="B33" s="416"/>
    </row>
    <row r="34" spans="1:3">
      <c r="A34" s="416"/>
      <c r="B34" s="416"/>
    </row>
    <row r="35" spans="1:3">
      <c r="A35" s="416"/>
      <c r="B35" s="416"/>
    </row>
    <row r="36" spans="1:3">
      <c r="A36" s="416"/>
      <c r="B36" s="416"/>
    </row>
    <row r="37" spans="1:3">
      <c r="A37" s="416"/>
      <c r="B37" s="416"/>
    </row>
    <row r="38" spans="1:3">
      <c r="A38" s="416"/>
      <c r="B38" s="416"/>
    </row>
    <row r="39" spans="1:3">
      <c r="A39" s="416"/>
      <c r="B39" s="416"/>
    </row>
    <row r="40" spans="1:3">
      <c r="A40" s="416"/>
      <c r="B40" s="416"/>
    </row>
    <row r="41" spans="1:3">
      <c r="A41" s="416"/>
      <c r="B41" s="416"/>
    </row>
    <row r="42" spans="1:3">
      <c r="A42" s="416"/>
      <c r="B42" s="417"/>
      <c r="C42" s="90"/>
    </row>
    <row r="43" spans="1:3">
      <c r="A43" s="416"/>
      <c r="B43" s="416"/>
    </row>
    <row r="44" spans="1:3">
      <c r="A44" s="416"/>
      <c r="B44" s="416"/>
    </row>
    <row r="45" spans="1:3">
      <c r="A45" s="416"/>
      <c r="B45" s="416"/>
    </row>
    <row r="46" spans="1:3">
      <c r="A46" s="416"/>
      <c r="B46" s="416"/>
    </row>
    <row r="47" spans="1:3">
      <c r="A47" s="416"/>
      <c r="B47" s="416"/>
    </row>
    <row r="48" spans="1:3">
      <c r="A48" s="416"/>
      <c r="B48" s="416"/>
    </row>
    <row r="49" spans="1:2">
      <c r="A49" s="416"/>
      <c r="B49" s="416"/>
    </row>
    <row r="50" spans="1:2">
      <c r="A50" s="416"/>
      <c r="B50" s="416"/>
    </row>
    <row r="51" spans="1:2">
      <c r="A51" s="416"/>
      <c r="B51" s="416"/>
    </row>
    <row r="52" spans="1:2">
      <c r="A52" s="416"/>
      <c r="B52" s="416"/>
    </row>
    <row r="53" spans="1:2">
      <c r="A53" s="416"/>
      <c r="B53" s="416"/>
    </row>
    <row r="54" spans="1:2">
      <c r="A54" s="416"/>
      <c r="B54" s="416"/>
    </row>
    <row r="55" spans="1:2">
      <c r="A55" s="416"/>
      <c r="B55" s="416"/>
    </row>
    <row r="56" spans="1:2">
      <c r="A56" s="416"/>
      <c r="B56" s="416"/>
    </row>
    <row r="57" spans="1:2">
      <c r="A57" s="416"/>
      <c r="B57" s="41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99"/>
  <sheetViews>
    <sheetView zoomScale="85" zoomScaleNormal="85" workbookViewId="0">
      <selection activeCell="E8" sqref="E8"/>
    </sheetView>
  </sheetViews>
  <sheetFormatPr baseColWidth="10" defaultRowHeight="12.75"/>
  <cols>
    <col min="1" max="1" width="10" style="88" customWidth="1"/>
    <col min="2" max="2" width="7.5703125" style="6" customWidth="1"/>
    <col min="3" max="3" width="9.140625" style="9" customWidth="1"/>
    <col min="4" max="4" width="11.28515625" style="9" bestFit="1" customWidth="1"/>
    <col min="5" max="5" width="40.7109375" style="13" customWidth="1"/>
    <col min="6" max="6" width="24.5703125" style="9" hidden="1" customWidth="1"/>
    <col min="7" max="7" width="29.85546875" style="13" hidden="1" customWidth="1"/>
    <col min="8" max="8" width="8.85546875" style="9" hidden="1" customWidth="1"/>
    <col min="9" max="9" width="10.28515625" style="12" hidden="1" customWidth="1"/>
    <col min="10" max="10" width="14" style="12" hidden="1" customWidth="1"/>
    <col min="11" max="11" width="6.5703125" style="9" hidden="1" customWidth="1"/>
    <col min="12" max="12" width="17.28515625" style="9" hidden="1" customWidth="1"/>
    <col min="13" max="13" width="14" style="11" hidden="1" customWidth="1"/>
    <col min="14" max="14" width="60" style="13" hidden="1" customWidth="1"/>
    <col min="15" max="15" width="14.42578125" style="13" hidden="1" customWidth="1"/>
    <col min="16" max="16" width="14.28515625" style="13" hidden="1" customWidth="1"/>
    <col min="17" max="17" width="9.140625" style="13" hidden="1" customWidth="1"/>
    <col min="18" max="18" width="22.85546875" style="18" hidden="1" customWidth="1"/>
    <col min="19" max="19" width="129.7109375" style="13" customWidth="1"/>
    <col min="20" max="20" width="45.5703125" style="9" hidden="1" customWidth="1"/>
    <col min="21" max="21" width="18.85546875" style="9" bestFit="1" customWidth="1"/>
    <col min="22" max="22" width="11.28515625" style="9" bestFit="1" customWidth="1"/>
    <col min="23" max="23" width="26.28515625" style="9" bestFit="1" customWidth="1"/>
    <col min="24" max="24" width="21" style="9" bestFit="1" customWidth="1"/>
    <col min="25" max="26" width="11.5703125" style="9" customWidth="1"/>
  </cols>
  <sheetData>
    <row r="1" spans="2:29">
      <c r="B1" s="125" t="s">
        <v>35</v>
      </c>
      <c r="C1" s="125" t="s">
        <v>0</v>
      </c>
      <c r="D1" s="125" t="s">
        <v>1</v>
      </c>
      <c r="E1" s="125" t="s">
        <v>705</v>
      </c>
      <c r="F1" s="125" t="s">
        <v>260</v>
      </c>
      <c r="G1" s="125" t="s">
        <v>259</v>
      </c>
      <c r="H1" s="125" t="s">
        <v>6</v>
      </c>
      <c r="I1" s="126" t="s">
        <v>7</v>
      </c>
      <c r="J1" s="137" t="s">
        <v>70</v>
      </c>
      <c r="K1" s="125" t="s">
        <v>3</v>
      </c>
      <c r="L1" s="125" t="s">
        <v>4</v>
      </c>
      <c r="M1" s="133" t="s">
        <v>5</v>
      </c>
      <c r="N1" s="125" t="s">
        <v>39</v>
      </c>
      <c r="O1" s="125" t="s">
        <v>37</v>
      </c>
      <c r="P1" s="125" t="s">
        <v>38</v>
      </c>
      <c r="Q1" s="125" t="s">
        <v>40</v>
      </c>
      <c r="R1" s="140" t="s">
        <v>8</v>
      </c>
      <c r="S1" s="125" t="s">
        <v>43</v>
      </c>
      <c r="T1" s="125" t="s">
        <v>256</v>
      </c>
      <c r="U1" s="219" t="s">
        <v>69</v>
      </c>
      <c r="V1" s="219" t="s">
        <v>489</v>
      </c>
      <c r="W1" s="219" t="s">
        <v>72</v>
      </c>
      <c r="X1" s="219" t="s">
        <v>71</v>
      </c>
      <c r="Y1" s="219" t="s">
        <v>77</v>
      </c>
      <c r="Z1" s="219" t="s">
        <v>73</v>
      </c>
      <c r="AA1" s="222" t="s">
        <v>720</v>
      </c>
      <c r="AB1" s="222" t="s">
        <v>721</v>
      </c>
      <c r="AC1" s="223" t="s">
        <v>722</v>
      </c>
    </row>
    <row r="2" spans="2:29">
      <c r="B2" s="126" t="s">
        <v>49</v>
      </c>
      <c r="C2" s="125">
        <v>2023</v>
      </c>
      <c r="D2" s="126" t="s">
        <v>559</v>
      </c>
      <c r="E2" s="130"/>
      <c r="F2" s="130" t="s">
        <v>261</v>
      </c>
      <c r="G2" s="127" t="s">
        <v>310</v>
      </c>
      <c r="H2" s="125" t="s">
        <v>50</v>
      </c>
      <c r="I2" s="128">
        <v>42384732</v>
      </c>
      <c r="J2" s="138" t="s">
        <v>420</v>
      </c>
      <c r="K2" s="125" t="s">
        <v>84</v>
      </c>
      <c r="L2" s="129">
        <v>36620</v>
      </c>
      <c r="M2" s="133">
        <f t="shared" ref="M2:M33" ca="1" si="0">+YEAR(TODAY())-YEAR(L2)</f>
        <v>24</v>
      </c>
      <c r="N2" s="139" t="s">
        <v>82</v>
      </c>
      <c r="O2" s="139" t="s">
        <v>421</v>
      </c>
      <c r="P2" s="139" t="s">
        <v>421</v>
      </c>
      <c r="Q2" s="139" t="s">
        <v>41</v>
      </c>
      <c r="R2" s="142" t="s">
        <v>425</v>
      </c>
      <c r="S2" s="139" t="s">
        <v>422</v>
      </c>
      <c r="T2" s="132" t="s">
        <v>365</v>
      </c>
      <c r="U2" s="125">
        <v>4</v>
      </c>
      <c r="V2" s="125">
        <v>4</v>
      </c>
      <c r="W2" s="125">
        <v>5</v>
      </c>
      <c r="X2" s="125">
        <v>4</v>
      </c>
      <c r="Y2" s="125">
        <v>4</v>
      </c>
      <c r="Z2" s="125">
        <v>4</v>
      </c>
      <c r="AB2" s="17"/>
    </row>
    <row r="3" spans="2:29" ht="15">
      <c r="B3" s="126" t="s">
        <v>49</v>
      </c>
      <c r="C3" s="125">
        <v>2023</v>
      </c>
      <c r="D3" s="126" t="s">
        <v>560</v>
      </c>
      <c r="E3" s="130"/>
      <c r="F3" s="130" t="s">
        <v>262</v>
      </c>
      <c r="G3" s="127" t="s">
        <v>311</v>
      </c>
      <c r="H3" s="125" t="s">
        <v>50</v>
      </c>
      <c r="I3" s="128">
        <v>40521466</v>
      </c>
      <c r="J3" s="138" t="s">
        <v>423</v>
      </c>
      <c r="K3" s="125" t="s">
        <v>81</v>
      </c>
      <c r="L3" s="129">
        <v>35607</v>
      </c>
      <c r="M3" s="133">
        <f t="shared" ca="1" si="0"/>
        <v>27</v>
      </c>
      <c r="N3" s="139" t="s">
        <v>82</v>
      </c>
      <c r="O3" s="139" t="s">
        <v>421</v>
      </c>
      <c r="P3" s="139" t="s">
        <v>421</v>
      </c>
      <c r="Q3" s="139" t="s">
        <v>41</v>
      </c>
      <c r="R3" s="142" t="s">
        <v>424</v>
      </c>
      <c r="S3" s="139" t="s">
        <v>426</v>
      </c>
      <c r="T3" s="132" t="s">
        <v>366</v>
      </c>
      <c r="U3" s="125">
        <v>4</v>
      </c>
      <c r="V3" s="125">
        <v>4</v>
      </c>
      <c r="W3" s="125">
        <v>4</v>
      </c>
      <c r="X3" s="125">
        <v>4</v>
      </c>
      <c r="Y3" s="146"/>
      <c r="Z3" s="146"/>
      <c r="AB3" s="17"/>
    </row>
    <row r="4" spans="2:29" ht="15">
      <c r="B4" s="126" t="s">
        <v>49</v>
      </c>
      <c r="C4" s="125">
        <v>2023</v>
      </c>
      <c r="D4" s="126" t="s">
        <v>561</v>
      </c>
      <c r="E4" s="130"/>
      <c r="F4" s="130" t="s">
        <v>263</v>
      </c>
      <c r="G4" s="127" t="s">
        <v>312</v>
      </c>
      <c r="H4" s="125" t="s">
        <v>50</v>
      </c>
      <c r="I4" s="128">
        <v>46221677</v>
      </c>
      <c r="J4" s="138" t="s">
        <v>427</v>
      </c>
      <c r="K4" s="125" t="s">
        <v>81</v>
      </c>
      <c r="L4" s="129">
        <v>38342</v>
      </c>
      <c r="M4" s="133">
        <f t="shared" ca="1" si="0"/>
        <v>20</v>
      </c>
      <c r="N4" s="139" t="s">
        <v>82</v>
      </c>
      <c r="O4" s="139" t="s">
        <v>421</v>
      </c>
      <c r="P4" s="139" t="s">
        <v>421</v>
      </c>
      <c r="Q4" s="139" t="s">
        <v>41</v>
      </c>
      <c r="R4" s="142" t="s">
        <v>428</v>
      </c>
      <c r="S4" s="147" t="s">
        <v>429</v>
      </c>
      <c r="T4" s="132" t="s">
        <v>367</v>
      </c>
      <c r="U4" s="125"/>
      <c r="V4" s="125"/>
      <c r="W4" s="125"/>
      <c r="X4" s="125"/>
      <c r="Y4" s="125"/>
      <c r="Z4" s="125"/>
      <c r="AB4" s="17"/>
    </row>
    <row r="5" spans="2:29">
      <c r="B5" s="126" t="s">
        <v>49</v>
      </c>
      <c r="C5" s="125">
        <v>2023</v>
      </c>
      <c r="D5" s="126" t="s">
        <v>562</v>
      </c>
      <c r="E5" s="130"/>
      <c r="F5" s="130" t="s">
        <v>263</v>
      </c>
      <c r="G5" s="127" t="s">
        <v>313</v>
      </c>
      <c r="H5" s="125" t="s">
        <v>50</v>
      </c>
      <c r="I5" s="128">
        <v>46973712</v>
      </c>
      <c r="J5" s="138" t="s">
        <v>430</v>
      </c>
      <c r="K5" s="125" t="s">
        <v>81</v>
      </c>
      <c r="L5" s="129">
        <v>37955</v>
      </c>
      <c r="M5" s="133">
        <f t="shared" ca="1" si="0"/>
        <v>21</v>
      </c>
      <c r="N5" s="139" t="s">
        <v>82</v>
      </c>
      <c r="O5" s="139" t="s">
        <v>421</v>
      </c>
      <c r="P5" s="139" t="s">
        <v>421</v>
      </c>
      <c r="Q5" s="139" t="s">
        <v>41</v>
      </c>
      <c r="R5" s="142" t="s">
        <v>431</v>
      </c>
      <c r="S5" s="139"/>
      <c r="T5" s="132" t="s">
        <v>368</v>
      </c>
      <c r="U5" s="125"/>
      <c r="V5" s="125"/>
      <c r="W5" s="125"/>
      <c r="X5" s="125"/>
      <c r="Y5" s="125"/>
      <c r="Z5" s="125"/>
      <c r="AB5" s="17"/>
    </row>
    <row r="6" spans="2:29">
      <c r="B6" s="126" t="s">
        <v>49</v>
      </c>
      <c r="C6" s="125">
        <v>2023</v>
      </c>
      <c r="D6" s="126" t="s">
        <v>563</v>
      </c>
      <c r="E6" s="130"/>
      <c r="F6" s="130" t="s">
        <v>264</v>
      </c>
      <c r="G6" s="127" t="s">
        <v>314</v>
      </c>
      <c r="H6" s="125" t="s">
        <v>50</v>
      </c>
      <c r="I6" s="128">
        <v>45081692</v>
      </c>
      <c r="J6" s="138" t="s">
        <v>432</v>
      </c>
      <c r="K6" s="125" t="s">
        <v>81</v>
      </c>
      <c r="L6" s="129">
        <v>37896</v>
      </c>
      <c r="M6" s="133">
        <f t="shared" ca="1" si="0"/>
        <v>21</v>
      </c>
      <c r="N6" s="139" t="s">
        <v>82</v>
      </c>
      <c r="O6" s="139" t="s">
        <v>421</v>
      </c>
      <c r="P6" s="139" t="s">
        <v>421</v>
      </c>
      <c r="Q6" s="139" t="s">
        <v>41</v>
      </c>
      <c r="R6" s="142" t="s">
        <v>433</v>
      </c>
      <c r="S6" s="139"/>
      <c r="T6" s="132" t="s">
        <v>369</v>
      </c>
      <c r="U6" s="125"/>
      <c r="V6" s="125"/>
      <c r="W6" s="125"/>
      <c r="X6" s="125"/>
      <c r="Y6" s="125"/>
      <c r="Z6" s="125"/>
      <c r="AB6" s="17"/>
    </row>
    <row r="7" spans="2:29">
      <c r="B7" s="137" t="s">
        <v>434</v>
      </c>
      <c r="C7" s="125">
        <v>2023</v>
      </c>
      <c r="D7" s="126" t="s">
        <v>564</v>
      </c>
      <c r="E7" s="130"/>
      <c r="F7" s="130" t="s">
        <v>265</v>
      </c>
      <c r="G7" s="127" t="s">
        <v>315</v>
      </c>
      <c r="H7" s="125" t="s">
        <v>50</v>
      </c>
      <c r="I7" s="128">
        <v>45082410</v>
      </c>
      <c r="J7" s="138" t="s">
        <v>435</v>
      </c>
      <c r="K7" s="125" t="s">
        <v>81</v>
      </c>
      <c r="L7" s="129">
        <v>37915</v>
      </c>
      <c r="M7" s="133">
        <f t="shared" ca="1" si="0"/>
        <v>21</v>
      </c>
      <c r="N7" s="139" t="s">
        <v>82</v>
      </c>
      <c r="O7" s="139" t="s">
        <v>421</v>
      </c>
      <c r="P7" s="139" t="s">
        <v>421</v>
      </c>
      <c r="Q7" s="139" t="s">
        <v>41</v>
      </c>
      <c r="R7" s="142" t="s">
        <v>436</v>
      </c>
      <c r="S7" s="139"/>
      <c r="T7" s="132" t="s">
        <v>370</v>
      </c>
      <c r="U7" s="125"/>
      <c r="V7" s="125"/>
      <c r="W7" s="125"/>
      <c r="X7" s="125"/>
      <c r="Y7" s="125"/>
      <c r="Z7" s="125"/>
      <c r="AB7" s="17"/>
    </row>
    <row r="8" spans="2:29">
      <c r="B8" s="126" t="s">
        <v>49</v>
      </c>
      <c r="C8" s="125">
        <v>2023</v>
      </c>
      <c r="D8" s="126" t="s">
        <v>565</v>
      </c>
      <c r="E8" s="130"/>
      <c r="F8" s="130" t="s">
        <v>266</v>
      </c>
      <c r="G8" s="127" t="s">
        <v>317</v>
      </c>
      <c r="H8" s="125" t="s">
        <v>50</v>
      </c>
      <c r="I8" s="128">
        <v>18897899</v>
      </c>
      <c r="J8" s="138" t="s">
        <v>440</v>
      </c>
      <c r="K8" s="125" t="s">
        <v>84</v>
      </c>
      <c r="L8" s="129">
        <v>32345</v>
      </c>
      <c r="M8" s="133">
        <f t="shared" ca="1" si="0"/>
        <v>36</v>
      </c>
      <c r="N8" s="139" t="s">
        <v>443</v>
      </c>
      <c r="O8" s="139" t="s">
        <v>442</v>
      </c>
      <c r="P8" s="139" t="s">
        <v>441</v>
      </c>
      <c r="Q8" s="139" t="s">
        <v>444</v>
      </c>
      <c r="R8" s="142" t="s">
        <v>439</v>
      </c>
      <c r="S8" s="139"/>
      <c r="T8" s="132" t="s">
        <v>372</v>
      </c>
      <c r="U8" s="125"/>
      <c r="V8" s="125"/>
      <c r="W8" s="125"/>
      <c r="X8" s="125"/>
      <c r="Y8" s="125"/>
      <c r="Z8" s="125"/>
      <c r="AB8" s="17"/>
    </row>
    <row r="9" spans="2:29">
      <c r="B9" s="126" t="s">
        <v>49</v>
      </c>
      <c r="C9" s="125">
        <v>2023</v>
      </c>
      <c r="D9" s="126" t="s">
        <v>566</v>
      </c>
      <c r="E9" s="130"/>
      <c r="F9" s="130" t="s">
        <v>267</v>
      </c>
      <c r="G9" s="127" t="s">
        <v>318</v>
      </c>
      <c r="H9" s="125" t="s">
        <v>50</v>
      </c>
      <c r="I9" s="128">
        <v>45407028</v>
      </c>
      <c r="J9" s="138" t="s">
        <v>437</v>
      </c>
      <c r="K9" s="125" t="s">
        <v>84</v>
      </c>
      <c r="L9" s="129">
        <v>37964</v>
      </c>
      <c r="M9" s="133">
        <f t="shared" ca="1" si="0"/>
        <v>21</v>
      </c>
      <c r="N9" s="139" t="s">
        <v>82</v>
      </c>
      <c r="O9" s="139" t="s">
        <v>421</v>
      </c>
      <c r="P9" s="139" t="s">
        <v>421</v>
      </c>
      <c r="Q9" s="139" t="s">
        <v>41</v>
      </c>
      <c r="R9" s="142" t="s">
        <v>438</v>
      </c>
      <c r="S9" s="139"/>
      <c r="T9" s="132" t="s">
        <v>373</v>
      </c>
      <c r="U9" s="125"/>
      <c r="V9" s="125"/>
      <c r="W9" s="125"/>
      <c r="X9" s="125"/>
      <c r="Y9" s="125"/>
      <c r="Z9" s="125"/>
      <c r="AB9" s="17"/>
    </row>
    <row r="10" spans="2:29">
      <c r="B10" s="126" t="s">
        <v>49</v>
      </c>
      <c r="C10" s="125">
        <v>2023</v>
      </c>
      <c r="D10" s="126" t="s">
        <v>567</v>
      </c>
      <c r="E10" s="130"/>
      <c r="F10" s="130" t="s">
        <v>704</v>
      </c>
      <c r="G10" s="127" t="s">
        <v>316</v>
      </c>
      <c r="H10" s="125" t="s">
        <v>50</v>
      </c>
      <c r="I10" s="128">
        <v>45934085</v>
      </c>
      <c r="J10" s="138" t="s">
        <v>445</v>
      </c>
      <c r="K10" s="125" t="s">
        <v>81</v>
      </c>
      <c r="L10" s="129">
        <v>38211</v>
      </c>
      <c r="M10" s="133">
        <f t="shared" ca="1" si="0"/>
        <v>20</v>
      </c>
      <c r="N10" s="139" t="s">
        <v>82</v>
      </c>
      <c r="O10" s="139" t="s">
        <v>421</v>
      </c>
      <c r="P10" s="139" t="s">
        <v>421</v>
      </c>
      <c r="Q10" s="139" t="s">
        <v>41</v>
      </c>
      <c r="R10" s="142" t="s">
        <v>446</v>
      </c>
      <c r="S10" s="139"/>
      <c r="T10" s="132" t="s">
        <v>371</v>
      </c>
      <c r="U10" s="125"/>
      <c r="V10" s="125"/>
      <c r="W10" s="125"/>
      <c r="X10" s="125"/>
      <c r="Y10" s="125"/>
      <c r="Z10" s="125"/>
      <c r="AB10" s="17"/>
    </row>
    <row r="11" spans="2:29">
      <c r="B11" s="126" t="s">
        <v>434</v>
      </c>
      <c r="C11" s="125">
        <v>2023</v>
      </c>
      <c r="D11" s="126" t="s">
        <v>568</v>
      </c>
      <c r="E11" s="130"/>
      <c r="F11" s="130" t="s">
        <v>268</v>
      </c>
      <c r="G11" s="127" t="s">
        <v>319</v>
      </c>
      <c r="H11" s="125" t="s">
        <v>50</v>
      </c>
      <c r="I11" s="128">
        <v>45089231</v>
      </c>
      <c r="J11" s="138" t="s">
        <v>447</v>
      </c>
      <c r="K11" s="125" t="s">
        <v>84</v>
      </c>
      <c r="L11" s="129">
        <v>37843</v>
      </c>
      <c r="M11" s="133">
        <f t="shared" ca="1" si="0"/>
        <v>21</v>
      </c>
      <c r="N11" s="139" t="s">
        <v>449</v>
      </c>
      <c r="O11" s="139" t="s">
        <v>450</v>
      </c>
      <c r="P11" s="139" t="s">
        <v>421</v>
      </c>
      <c r="Q11" s="139" t="s">
        <v>41</v>
      </c>
      <c r="R11" s="142" t="s">
        <v>448</v>
      </c>
      <c r="S11" s="139"/>
      <c r="T11" s="132" t="s">
        <v>374</v>
      </c>
      <c r="U11" s="125"/>
      <c r="V11" s="125"/>
      <c r="W11" s="125"/>
      <c r="X11" s="125"/>
      <c r="Y11" s="125"/>
      <c r="Z11" s="125"/>
      <c r="AB11" s="17"/>
    </row>
    <row r="12" spans="2:29">
      <c r="B12" s="126" t="s">
        <v>49</v>
      </c>
      <c r="C12" s="125">
        <v>2023</v>
      </c>
      <c r="D12" s="126" t="s">
        <v>569</v>
      </c>
      <c r="E12" s="130"/>
      <c r="F12" s="130" t="s">
        <v>269</v>
      </c>
      <c r="G12" s="127" t="s">
        <v>320</v>
      </c>
      <c r="H12" s="125" t="s">
        <v>50</v>
      </c>
      <c r="I12" s="128">
        <v>46223027</v>
      </c>
      <c r="J12" s="128" t="s">
        <v>451</v>
      </c>
      <c r="K12" s="125" t="s">
        <v>81</v>
      </c>
      <c r="L12" s="129">
        <v>38416</v>
      </c>
      <c r="M12" s="133">
        <f t="shared" ca="1" si="0"/>
        <v>19</v>
      </c>
      <c r="N12" s="139" t="s">
        <v>82</v>
      </c>
      <c r="O12" s="139" t="s">
        <v>421</v>
      </c>
      <c r="P12" s="139" t="s">
        <v>421</v>
      </c>
      <c r="Q12" s="139" t="s">
        <v>41</v>
      </c>
      <c r="R12" s="141" t="s">
        <v>452</v>
      </c>
      <c r="S12" s="139"/>
      <c r="T12" s="132" t="s">
        <v>375</v>
      </c>
      <c r="U12" s="125"/>
      <c r="V12" s="125"/>
      <c r="W12" s="125"/>
      <c r="X12" s="125"/>
      <c r="Y12" s="125"/>
      <c r="Z12" s="125"/>
      <c r="AB12" s="17"/>
    </row>
    <row r="13" spans="2:29">
      <c r="B13" s="126" t="s">
        <v>434</v>
      </c>
      <c r="C13" s="125">
        <v>2023</v>
      </c>
      <c r="D13" s="126" t="s">
        <v>570</v>
      </c>
      <c r="E13" s="130"/>
      <c r="F13" s="130" t="s">
        <v>270</v>
      </c>
      <c r="G13" s="127" t="s">
        <v>321</v>
      </c>
      <c r="H13" s="125" t="s">
        <v>50</v>
      </c>
      <c r="I13" s="128">
        <v>45404370</v>
      </c>
      <c r="J13" s="128" t="s">
        <v>453</v>
      </c>
      <c r="K13" s="125" t="s">
        <v>81</v>
      </c>
      <c r="L13" s="129">
        <v>38020</v>
      </c>
      <c r="M13" s="133">
        <f t="shared" ca="1" si="0"/>
        <v>20</v>
      </c>
      <c r="N13" s="139" t="s">
        <v>454</v>
      </c>
      <c r="O13" s="139" t="s">
        <v>455</v>
      </c>
      <c r="P13" s="139" t="s">
        <v>421</v>
      </c>
      <c r="Q13" s="139" t="s">
        <v>41</v>
      </c>
      <c r="R13" s="141" t="s">
        <v>456</v>
      </c>
      <c r="S13" s="139"/>
      <c r="T13" s="132" t="s">
        <v>376</v>
      </c>
      <c r="U13" s="125"/>
      <c r="V13" s="125"/>
      <c r="W13" s="125"/>
      <c r="X13" s="125"/>
      <c r="Y13" s="125"/>
      <c r="Z13" s="125"/>
      <c r="AB13" s="17"/>
    </row>
    <row r="14" spans="2:29">
      <c r="B14" s="126" t="s">
        <v>49</v>
      </c>
      <c r="C14" s="125">
        <v>2023</v>
      </c>
      <c r="D14" s="126" t="s">
        <v>571</v>
      </c>
      <c r="E14" s="130"/>
      <c r="F14" s="130" t="s">
        <v>271</v>
      </c>
      <c r="G14" s="127" t="s">
        <v>322</v>
      </c>
      <c r="H14" s="125" t="s">
        <v>50</v>
      </c>
      <c r="I14" s="128">
        <v>45348968</v>
      </c>
      <c r="J14" s="128" t="s">
        <v>457</v>
      </c>
      <c r="K14" s="125" t="s">
        <v>81</v>
      </c>
      <c r="L14" s="129">
        <v>38058</v>
      </c>
      <c r="M14" s="133">
        <f t="shared" ca="1" si="0"/>
        <v>20</v>
      </c>
      <c r="N14" s="139" t="s">
        <v>82</v>
      </c>
      <c r="O14" s="139" t="s">
        <v>421</v>
      </c>
      <c r="P14" s="139" t="s">
        <v>421</v>
      </c>
      <c r="Q14" s="139" t="s">
        <v>41</v>
      </c>
      <c r="R14" s="141" t="s">
        <v>458</v>
      </c>
      <c r="S14" s="139"/>
      <c r="T14" s="132" t="s">
        <v>377</v>
      </c>
      <c r="U14" s="125"/>
      <c r="V14" s="125"/>
      <c r="W14" s="125"/>
      <c r="X14" s="125"/>
      <c r="Y14" s="125"/>
      <c r="Z14" s="125"/>
      <c r="AB14" s="17"/>
    </row>
    <row r="15" spans="2:29">
      <c r="B15" s="126" t="s">
        <v>49</v>
      </c>
      <c r="C15" s="125">
        <v>2023</v>
      </c>
      <c r="D15" s="126" t="s">
        <v>572</v>
      </c>
      <c r="E15" s="130"/>
      <c r="F15" s="130" t="s">
        <v>272</v>
      </c>
      <c r="G15" s="127" t="s">
        <v>323</v>
      </c>
      <c r="H15" s="125" t="s">
        <v>50</v>
      </c>
      <c r="I15" s="128">
        <v>40208254</v>
      </c>
      <c r="J15" s="128" t="s">
        <v>459</v>
      </c>
      <c r="K15" s="125" t="s">
        <v>81</v>
      </c>
      <c r="L15" s="129">
        <v>35739</v>
      </c>
      <c r="M15" s="133">
        <f t="shared" ca="1" si="0"/>
        <v>27</v>
      </c>
      <c r="N15" s="139" t="s">
        <v>461</v>
      </c>
      <c r="O15" s="139" t="s">
        <v>462</v>
      </c>
      <c r="P15" s="139" t="s">
        <v>463</v>
      </c>
      <c r="Q15" s="139" t="s">
        <v>41</v>
      </c>
      <c r="R15" s="141" t="s">
        <v>460</v>
      </c>
      <c r="S15" s="139"/>
      <c r="T15" s="132" t="s">
        <v>378</v>
      </c>
      <c r="U15" s="125"/>
      <c r="V15" s="125"/>
      <c r="W15" s="125"/>
      <c r="X15" s="125"/>
      <c r="Y15" s="125"/>
      <c r="Z15" s="125"/>
      <c r="AB15" s="17"/>
    </row>
    <row r="16" spans="2:29">
      <c r="B16" s="126" t="s">
        <v>49</v>
      </c>
      <c r="C16" s="125">
        <v>2023</v>
      </c>
      <c r="D16" s="126" t="s">
        <v>573</v>
      </c>
      <c r="E16" s="130"/>
      <c r="F16" s="130" t="s">
        <v>273</v>
      </c>
      <c r="G16" s="127" t="s">
        <v>324</v>
      </c>
      <c r="H16" s="125" t="s">
        <v>50</v>
      </c>
      <c r="I16" s="128">
        <v>45348957</v>
      </c>
      <c r="J16" s="128" t="s">
        <v>464</v>
      </c>
      <c r="K16" s="125" t="s">
        <v>84</v>
      </c>
      <c r="L16" s="129">
        <v>38054</v>
      </c>
      <c r="M16" s="133">
        <f t="shared" ca="1" si="0"/>
        <v>20</v>
      </c>
      <c r="N16" s="139" t="s">
        <v>82</v>
      </c>
      <c r="O16" s="139" t="s">
        <v>421</v>
      </c>
      <c r="P16" s="139" t="s">
        <v>421</v>
      </c>
      <c r="Q16" s="139" t="s">
        <v>41</v>
      </c>
      <c r="R16" s="141" t="s">
        <v>465</v>
      </c>
      <c r="S16" s="139"/>
      <c r="T16" s="132" t="s">
        <v>379</v>
      </c>
      <c r="U16" s="125"/>
      <c r="V16" s="125"/>
      <c r="W16" s="125"/>
      <c r="X16" s="125"/>
      <c r="Y16" s="125"/>
      <c r="Z16" s="125"/>
      <c r="AB16" s="17"/>
    </row>
    <row r="17" spans="1:28">
      <c r="B17" s="126" t="s">
        <v>49</v>
      </c>
      <c r="C17" s="125">
        <v>2023</v>
      </c>
      <c r="D17" s="126" t="s">
        <v>574</v>
      </c>
      <c r="E17" s="130"/>
      <c r="F17" s="130" t="s">
        <v>274</v>
      </c>
      <c r="G17" s="127" t="s">
        <v>325</v>
      </c>
      <c r="H17" s="125" t="s">
        <v>50</v>
      </c>
      <c r="I17" s="128">
        <v>42438829</v>
      </c>
      <c r="J17" s="128" t="s">
        <v>466</v>
      </c>
      <c r="K17" s="125" t="s">
        <v>81</v>
      </c>
      <c r="L17" s="129">
        <v>36589</v>
      </c>
      <c r="M17" s="133">
        <f t="shared" ca="1" si="0"/>
        <v>24</v>
      </c>
      <c r="N17" s="139" t="s">
        <v>82</v>
      </c>
      <c r="O17" s="139" t="s">
        <v>421</v>
      </c>
      <c r="P17" s="139" t="s">
        <v>421</v>
      </c>
      <c r="Q17" s="139" t="s">
        <v>41</v>
      </c>
      <c r="R17" s="141" t="s">
        <v>467</v>
      </c>
      <c r="S17" s="139"/>
      <c r="T17" s="132" t="s">
        <v>380</v>
      </c>
      <c r="U17" s="125"/>
      <c r="V17" s="125"/>
      <c r="W17" s="125"/>
      <c r="X17" s="125"/>
      <c r="Y17" s="125"/>
      <c r="Z17" s="125"/>
      <c r="AB17" s="17"/>
    </row>
    <row r="18" spans="1:28">
      <c r="B18" s="126" t="s">
        <v>49</v>
      </c>
      <c r="C18" s="125">
        <v>2023</v>
      </c>
      <c r="D18" s="126" t="s">
        <v>575</v>
      </c>
      <c r="E18" s="130"/>
      <c r="F18" s="130" t="s">
        <v>275</v>
      </c>
      <c r="G18" s="127" t="s">
        <v>326</v>
      </c>
      <c r="H18" s="125" t="s">
        <v>50</v>
      </c>
      <c r="I18" s="128">
        <v>42336890</v>
      </c>
      <c r="J18" s="128" t="s">
        <v>468</v>
      </c>
      <c r="K18" s="125" t="s">
        <v>84</v>
      </c>
      <c r="L18" s="129">
        <v>36530</v>
      </c>
      <c r="M18" s="133">
        <f t="shared" ca="1" si="0"/>
        <v>24</v>
      </c>
      <c r="N18" s="139" t="s">
        <v>82</v>
      </c>
      <c r="O18" s="139" t="s">
        <v>421</v>
      </c>
      <c r="P18" s="139" t="s">
        <v>421</v>
      </c>
      <c r="Q18" s="139" t="s">
        <v>41</v>
      </c>
      <c r="R18" s="141" t="s">
        <v>469</v>
      </c>
      <c r="S18" s="139"/>
      <c r="T18" s="132" t="s">
        <v>381</v>
      </c>
      <c r="U18" s="125"/>
      <c r="V18" s="125"/>
      <c r="W18" s="125"/>
      <c r="X18" s="125"/>
      <c r="Y18" s="125"/>
      <c r="Z18" s="125"/>
      <c r="AB18" s="17"/>
    </row>
    <row r="19" spans="1:28" ht="16.899999999999999" customHeight="1">
      <c r="B19" s="126" t="s">
        <v>49</v>
      </c>
      <c r="C19" s="125">
        <v>2023</v>
      </c>
      <c r="D19" s="126" t="s">
        <v>576</v>
      </c>
      <c r="E19" s="130"/>
      <c r="F19" s="130" t="s">
        <v>276</v>
      </c>
      <c r="G19" s="127" t="s">
        <v>327</v>
      </c>
      <c r="H19" s="125" t="s">
        <v>50</v>
      </c>
      <c r="I19" s="128">
        <v>44693997</v>
      </c>
      <c r="J19" s="128" t="s">
        <v>470</v>
      </c>
      <c r="K19" s="125" t="s">
        <v>81</v>
      </c>
      <c r="L19" s="129">
        <v>37676</v>
      </c>
      <c r="M19" s="133">
        <f t="shared" ca="1" si="0"/>
        <v>21</v>
      </c>
      <c r="N19" s="139" t="s">
        <v>82</v>
      </c>
      <c r="O19" s="139" t="s">
        <v>421</v>
      </c>
      <c r="P19" s="139" t="s">
        <v>421</v>
      </c>
      <c r="Q19" s="139" t="s">
        <v>41</v>
      </c>
      <c r="R19" s="141"/>
      <c r="S19" s="139"/>
      <c r="T19" s="132" t="s">
        <v>83</v>
      </c>
      <c r="U19" s="125"/>
      <c r="V19" s="125"/>
      <c r="W19" s="125"/>
      <c r="X19" s="125"/>
      <c r="Y19" s="125"/>
      <c r="Z19" s="125"/>
      <c r="AB19" s="17"/>
    </row>
    <row r="20" spans="1:28">
      <c r="B20" s="126" t="s">
        <v>49</v>
      </c>
      <c r="C20" s="125">
        <v>2023</v>
      </c>
      <c r="D20" s="126" t="s">
        <v>577</v>
      </c>
      <c r="E20" s="130"/>
      <c r="F20" s="130" t="s">
        <v>278</v>
      </c>
      <c r="G20" s="127" t="s">
        <v>329</v>
      </c>
      <c r="H20" s="125" t="s">
        <v>50</v>
      </c>
      <c r="I20" s="128">
        <v>46310005</v>
      </c>
      <c r="J20" s="128" t="s">
        <v>471</v>
      </c>
      <c r="K20" s="125" t="s">
        <v>81</v>
      </c>
      <c r="L20" s="129">
        <v>38408</v>
      </c>
      <c r="M20" s="133">
        <f t="shared" ca="1" si="0"/>
        <v>19</v>
      </c>
      <c r="N20" s="139" t="s">
        <v>82</v>
      </c>
      <c r="O20" s="139" t="s">
        <v>421</v>
      </c>
      <c r="P20" s="139" t="s">
        <v>421</v>
      </c>
      <c r="Q20" s="139" t="s">
        <v>41</v>
      </c>
      <c r="R20" s="141" t="s">
        <v>472</v>
      </c>
      <c r="S20" s="139"/>
      <c r="T20" s="132" t="s">
        <v>383</v>
      </c>
      <c r="U20" s="125"/>
      <c r="V20" s="125"/>
      <c r="W20" s="125"/>
      <c r="X20" s="125"/>
      <c r="Y20" s="125"/>
      <c r="Z20" s="125"/>
      <c r="AB20" s="17"/>
    </row>
    <row r="21" spans="1:28" ht="17.45" customHeight="1">
      <c r="B21" s="126" t="s">
        <v>49</v>
      </c>
      <c r="C21" s="125">
        <v>2023</v>
      </c>
      <c r="D21" s="126" t="s">
        <v>578</v>
      </c>
      <c r="E21" s="130"/>
      <c r="F21" s="130" t="s">
        <v>279</v>
      </c>
      <c r="G21" s="127" t="s">
        <v>330</v>
      </c>
      <c r="H21" s="125" t="s">
        <v>50</v>
      </c>
      <c r="I21" s="128">
        <v>44897176</v>
      </c>
      <c r="J21" s="128">
        <v>20448971768</v>
      </c>
      <c r="K21" s="125" t="s">
        <v>81</v>
      </c>
      <c r="L21" s="129">
        <v>37851</v>
      </c>
      <c r="M21" s="133">
        <f t="shared" ca="1" si="0"/>
        <v>21</v>
      </c>
      <c r="N21" s="139" t="s">
        <v>82</v>
      </c>
      <c r="O21" s="139" t="s">
        <v>421</v>
      </c>
      <c r="P21" s="139" t="s">
        <v>421</v>
      </c>
      <c r="Q21" s="139" t="s">
        <v>41</v>
      </c>
      <c r="R21" s="141" t="s">
        <v>473</v>
      </c>
      <c r="S21" s="139"/>
      <c r="T21" s="132" t="s">
        <v>384</v>
      </c>
      <c r="U21" s="125"/>
      <c r="V21" s="125"/>
      <c r="W21" s="125"/>
      <c r="X21" s="125"/>
      <c r="Y21" s="125"/>
      <c r="Z21" s="125"/>
      <c r="AB21" s="17"/>
    </row>
    <row r="22" spans="1:28">
      <c r="B22" s="126" t="s">
        <v>49</v>
      </c>
      <c r="C22" s="125">
        <v>2023</v>
      </c>
      <c r="D22" s="126" t="s">
        <v>579</v>
      </c>
      <c r="E22" s="130"/>
      <c r="F22" s="130" t="s">
        <v>277</v>
      </c>
      <c r="G22" s="127" t="s">
        <v>328</v>
      </c>
      <c r="H22" s="125" t="s">
        <v>50</v>
      </c>
      <c r="I22" s="128">
        <v>46452354</v>
      </c>
      <c r="J22" s="128" t="s">
        <v>474</v>
      </c>
      <c r="K22" s="125" t="s">
        <v>84</v>
      </c>
      <c r="L22" s="129">
        <v>38504</v>
      </c>
      <c r="M22" s="133">
        <f t="shared" ca="1" si="0"/>
        <v>19</v>
      </c>
      <c r="N22" s="139" t="s">
        <v>82</v>
      </c>
      <c r="O22" s="139" t="s">
        <v>421</v>
      </c>
      <c r="P22" s="139" t="s">
        <v>421</v>
      </c>
      <c r="Q22" s="139" t="s">
        <v>41</v>
      </c>
      <c r="R22" s="141" t="s">
        <v>475</v>
      </c>
      <c r="S22" s="139"/>
      <c r="T22" s="132" t="s">
        <v>382</v>
      </c>
      <c r="U22" s="125"/>
      <c r="V22" s="125"/>
      <c r="W22" s="125"/>
      <c r="X22" s="125"/>
      <c r="Y22" s="125"/>
      <c r="Z22" s="125"/>
      <c r="AB22" s="17"/>
    </row>
    <row r="23" spans="1:28">
      <c r="A23" s="232"/>
      <c r="B23" s="126" t="s">
        <v>49</v>
      </c>
      <c r="C23" s="125">
        <v>2023</v>
      </c>
      <c r="D23" s="126" t="s">
        <v>580</v>
      </c>
      <c r="E23" s="130"/>
      <c r="F23" s="130" t="s">
        <v>280</v>
      </c>
      <c r="G23" s="127" t="s">
        <v>331</v>
      </c>
      <c r="H23" s="125" t="s">
        <v>50</v>
      </c>
      <c r="I23" s="128">
        <v>41002204</v>
      </c>
      <c r="J23" s="128" t="s">
        <v>476</v>
      </c>
      <c r="K23" s="125" t="s">
        <v>81</v>
      </c>
      <c r="L23" s="129">
        <v>35851</v>
      </c>
      <c r="M23" s="133">
        <f t="shared" ca="1" si="0"/>
        <v>26</v>
      </c>
      <c r="N23" s="139" t="s">
        <v>82</v>
      </c>
      <c r="O23" s="139" t="s">
        <v>421</v>
      </c>
      <c r="P23" s="139" t="s">
        <v>421</v>
      </c>
      <c r="Q23" s="139" t="s">
        <v>41</v>
      </c>
      <c r="R23" s="141" t="s">
        <v>254</v>
      </c>
      <c r="S23" s="139"/>
      <c r="T23" s="132" t="s">
        <v>385</v>
      </c>
      <c r="U23" s="125"/>
      <c r="V23" s="125"/>
      <c r="W23" s="125"/>
      <c r="X23" s="125"/>
      <c r="Y23" s="125"/>
      <c r="Z23" s="125"/>
      <c r="AB23" s="17"/>
    </row>
    <row r="24" spans="1:28">
      <c r="B24" s="126" t="s">
        <v>434</v>
      </c>
      <c r="C24" s="125">
        <v>2023</v>
      </c>
      <c r="D24" s="126" t="s">
        <v>581</v>
      </c>
      <c r="E24" s="130"/>
      <c r="F24" s="130" t="s">
        <v>281</v>
      </c>
      <c r="G24" s="127" t="s">
        <v>332</v>
      </c>
      <c r="H24" s="125" t="s">
        <v>50</v>
      </c>
      <c r="I24" s="128">
        <v>39232545</v>
      </c>
      <c r="J24" s="128"/>
      <c r="K24" s="125" t="s">
        <v>81</v>
      </c>
      <c r="L24" s="129">
        <v>35190</v>
      </c>
      <c r="M24" s="133">
        <f t="shared" ca="1" si="0"/>
        <v>28</v>
      </c>
      <c r="N24" s="139" t="s">
        <v>82</v>
      </c>
      <c r="O24" s="139" t="s">
        <v>421</v>
      </c>
      <c r="P24" s="139" t="s">
        <v>421</v>
      </c>
      <c r="Q24" s="139" t="s">
        <v>41</v>
      </c>
      <c r="R24" s="141" t="s">
        <v>477</v>
      </c>
      <c r="S24" s="139"/>
      <c r="T24" s="132" t="s">
        <v>386</v>
      </c>
      <c r="U24" s="125"/>
      <c r="V24" s="125"/>
      <c r="W24" s="125"/>
      <c r="X24" s="125"/>
      <c r="Y24" s="125"/>
      <c r="Z24" s="125"/>
      <c r="AB24" s="17"/>
    </row>
    <row r="25" spans="1:28">
      <c r="B25" s="126" t="s">
        <v>49</v>
      </c>
      <c r="C25" s="125">
        <v>2023</v>
      </c>
      <c r="D25" s="126" t="s">
        <v>582</v>
      </c>
      <c r="E25" s="130"/>
      <c r="F25" s="130" t="s">
        <v>282</v>
      </c>
      <c r="G25" s="127" t="s">
        <v>333</v>
      </c>
      <c r="H25" s="125" t="s">
        <v>50</v>
      </c>
      <c r="I25" s="128">
        <v>45700694</v>
      </c>
      <c r="J25" s="128" t="s">
        <v>478</v>
      </c>
      <c r="K25" s="125" t="s">
        <v>81</v>
      </c>
      <c r="L25" s="129">
        <v>38197</v>
      </c>
      <c r="M25" s="133">
        <f t="shared" ca="1" si="0"/>
        <v>20</v>
      </c>
      <c r="N25" s="139" t="s">
        <v>480</v>
      </c>
      <c r="O25" s="139" t="s">
        <v>455</v>
      </c>
      <c r="P25" s="139" t="s">
        <v>421</v>
      </c>
      <c r="Q25" s="139" t="s">
        <v>41</v>
      </c>
      <c r="R25" s="141" t="s">
        <v>479</v>
      </c>
      <c r="S25" s="139"/>
      <c r="T25" s="132" t="s">
        <v>387</v>
      </c>
      <c r="U25" s="125"/>
      <c r="V25" s="125"/>
      <c r="W25" s="125"/>
      <c r="X25" s="125"/>
      <c r="Y25" s="125"/>
      <c r="Z25" s="125"/>
      <c r="AB25" s="17"/>
    </row>
    <row r="26" spans="1:28">
      <c r="B26" s="126" t="s">
        <v>49</v>
      </c>
      <c r="C26" s="125">
        <v>2023</v>
      </c>
      <c r="D26" s="126" t="s">
        <v>583</v>
      </c>
      <c r="E26" s="130"/>
      <c r="F26" s="130" t="s">
        <v>283</v>
      </c>
      <c r="G26" s="127" t="s">
        <v>334</v>
      </c>
      <c r="H26" s="125" t="s">
        <v>50</v>
      </c>
      <c r="I26" s="128">
        <v>44767426</v>
      </c>
      <c r="J26" s="128" t="s">
        <v>481</v>
      </c>
      <c r="K26" s="125" t="s">
        <v>81</v>
      </c>
      <c r="L26" s="129">
        <v>37739</v>
      </c>
      <c r="M26" s="133">
        <f t="shared" ca="1" si="0"/>
        <v>21</v>
      </c>
      <c r="N26" s="139" t="s">
        <v>82</v>
      </c>
      <c r="O26" s="139" t="s">
        <v>421</v>
      </c>
      <c r="P26" s="139" t="s">
        <v>421</v>
      </c>
      <c r="Q26" s="139" t="s">
        <v>41</v>
      </c>
      <c r="R26" s="141" t="s">
        <v>482</v>
      </c>
      <c r="S26" s="139"/>
      <c r="T26" s="132" t="s">
        <v>388</v>
      </c>
      <c r="U26" s="125"/>
      <c r="V26" s="125"/>
      <c r="W26" s="125"/>
      <c r="X26" s="125"/>
      <c r="Y26" s="125"/>
      <c r="Z26" s="125"/>
      <c r="AB26" s="17"/>
    </row>
    <row r="27" spans="1:28">
      <c r="B27" s="126" t="s">
        <v>49</v>
      </c>
      <c r="C27" s="125">
        <v>2023</v>
      </c>
      <c r="D27" s="126" t="s">
        <v>584</v>
      </c>
      <c r="E27" s="130"/>
      <c r="F27" s="130" t="s">
        <v>284</v>
      </c>
      <c r="G27" s="127" t="s">
        <v>335</v>
      </c>
      <c r="H27" s="125" t="s">
        <v>50</v>
      </c>
      <c r="I27" s="128">
        <v>46591510</v>
      </c>
      <c r="J27" s="128" t="s">
        <v>483</v>
      </c>
      <c r="K27" s="125" t="s">
        <v>84</v>
      </c>
      <c r="L27" s="129">
        <v>38504</v>
      </c>
      <c r="M27" s="133">
        <f t="shared" ca="1" si="0"/>
        <v>19</v>
      </c>
      <c r="N27" s="139" t="s">
        <v>485</v>
      </c>
      <c r="O27" s="139" t="s">
        <v>486</v>
      </c>
      <c r="P27" s="139" t="s">
        <v>421</v>
      </c>
      <c r="Q27" s="139" t="s">
        <v>41</v>
      </c>
      <c r="R27" s="141" t="s">
        <v>484</v>
      </c>
      <c r="S27" s="139"/>
      <c r="T27" s="132" t="s">
        <v>389</v>
      </c>
      <c r="U27" s="125"/>
      <c r="V27" s="125"/>
      <c r="W27" s="125"/>
      <c r="X27" s="125"/>
      <c r="Y27" s="125"/>
      <c r="Z27" s="125"/>
      <c r="AB27" s="17"/>
    </row>
    <row r="28" spans="1:28">
      <c r="B28" s="126" t="s">
        <v>49</v>
      </c>
      <c r="C28" s="125">
        <v>2023</v>
      </c>
      <c r="D28" s="126" t="s">
        <v>585</v>
      </c>
      <c r="E28" s="130"/>
      <c r="F28" s="130" t="s">
        <v>285</v>
      </c>
      <c r="G28" s="127" t="s">
        <v>336</v>
      </c>
      <c r="H28" s="125" t="s">
        <v>50</v>
      </c>
      <c r="I28" s="128">
        <v>44872678</v>
      </c>
      <c r="J28" s="128" t="s">
        <v>487</v>
      </c>
      <c r="K28" s="125" t="s">
        <v>81</v>
      </c>
      <c r="L28" s="129">
        <v>37791</v>
      </c>
      <c r="M28" s="133">
        <f t="shared" ca="1" si="0"/>
        <v>21</v>
      </c>
      <c r="N28" s="139" t="s">
        <v>82</v>
      </c>
      <c r="O28" s="139" t="s">
        <v>421</v>
      </c>
      <c r="P28" s="139" t="s">
        <v>421</v>
      </c>
      <c r="Q28" s="139" t="s">
        <v>41</v>
      </c>
      <c r="R28" s="141" t="s">
        <v>488</v>
      </c>
      <c r="S28" s="139"/>
      <c r="T28" s="132" t="s">
        <v>390</v>
      </c>
      <c r="U28" s="125"/>
      <c r="V28" s="125"/>
      <c r="W28" s="125"/>
      <c r="X28" s="125"/>
      <c r="Y28" s="125"/>
      <c r="Z28" s="125"/>
      <c r="AB28" s="17"/>
    </row>
    <row r="29" spans="1:28">
      <c r="B29" s="126" t="s">
        <v>49</v>
      </c>
      <c r="C29" s="125">
        <v>2023</v>
      </c>
      <c r="D29" s="126" t="s">
        <v>586</v>
      </c>
      <c r="E29" s="130"/>
      <c r="F29" s="130" t="s">
        <v>286</v>
      </c>
      <c r="G29" s="127" t="s">
        <v>337</v>
      </c>
      <c r="H29" s="125" t="s">
        <v>50</v>
      </c>
      <c r="I29" s="128">
        <v>33600035</v>
      </c>
      <c r="J29" s="128" t="s">
        <v>490</v>
      </c>
      <c r="K29" s="125" t="s">
        <v>81</v>
      </c>
      <c r="L29" s="129">
        <v>32195</v>
      </c>
      <c r="M29" s="133">
        <f t="shared" ca="1" si="0"/>
        <v>36</v>
      </c>
      <c r="N29" s="139" t="s">
        <v>82</v>
      </c>
      <c r="O29" s="139" t="s">
        <v>421</v>
      </c>
      <c r="P29" s="139" t="s">
        <v>421</v>
      </c>
      <c r="Q29" s="139" t="s">
        <v>41</v>
      </c>
      <c r="R29" s="141" t="s">
        <v>491</v>
      </c>
      <c r="S29" s="139"/>
      <c r="T29" s="132" t="s">
        <v>391</v>
      </c>
      <c r="U29" s="125"/>
      <c r="V29" s="125"/>
      <c r="W29" s="125"/>
      <c r="X29" s="125"/>
      <c r="Y29" s="125"/>
      <c r="Z29" s="125"/>
      <c r="AB29" s="17"/>
    </row>
    <row r="30" spans="1:28">
      <c r="B30" s="126" t="s">
        <v>434</v>
      </c>
      <c r="C30" s="125">
        <v>2023</v>
      </c>
      <c r="D30" s="126" t="s">
        <v>587</v>
      </c>
      <c r="E30" s="130"/>
      <c r="F30" s="130" t="s">
        <v>287</v>
      </c>
      <c r="G30" s="127" t="s">
        <v>338</v>
      </c>
      <c r="H30" s="125" t="s">
        <v>50</v>
      </c>
      <c r="I30" s="128">
        <v>42642793</v>
      </c>
      <c r="J30" s="128" t="s">
        <v>490</v>
      </c>
      <c r="K30" s="125" t="s">
        <v>81</v>
      </c>
      <c r="L30" s="129">
        <v>36693</v>
      </c>
      <c r="M30" s="133">
        <f t="shared" ca="1" si="0"/>
        <v>24</v>
      </c>
      <c r="N30" s="139" t="s">
        <v>82</v>
      </c>
      <c r="O30" s="139" t="s">
        <v>421</v>
      </c>
      <c r="P30" s="139" t="s">
        <v>421</v>
      </c>
      <c r="Q30" s="139" t="s">
        <v>41</v>
      </c>
      <c r="R30" s="141" t="s">
        <v>492</v>
      </c>
      <c r="S30" s="139"/>
      <c r="T30" s="132" t="s">
        <v>392</v>
      </c>
      <c r="U30" s="125"/>
      <c r="V30" s="125"/>
      <c r="W30" s="125"/>
      <c r="X30" s="125"/>
      <c r="Y30" s="125"/>
      <c r="Z30" s="125"/>
      <c r="AB30" s="17"/>
    </row>
    <row r="31" spans="1:28">
      <c r="B31" s="126" t="s">
        <v>434</v>
      </c>
      <c r="C31" s="125">
        <v>2023</v>
      </c>
      <c r="D31" s="126" t="s">
        <v>588</v>
      </c>
      <c r="E31" s="130"/>
      <c r="F31" s="130" t="s">
        <v>288</v>
      </c>
      <c r="G31" s="127" t="s">
        <v>339</v>
      </c>
      <c r="H31" s="125" t="s">
        <v>50</v>
      </c>
      <c r="I31" s="128">
        <v>43272179</v>
      </c>
      <c r="J31" s="128" t="s">
        <v>493</v>
      </c>
      <c r="K31" s="125" t="s">
        <v>81</v>
      </c>
      <c r="L31" s="129">
        <v>36937</v>
      </c>
      <c r="M31" s="133">
        <f t="shared" ca="1" si="0"/>
        <v>23</v>
      </c>
      <c r="N31" s="139" t="s">
        <v>82</v>
      </c>
      <c r="O31" s="139" t="s">
        <v>421</v>
      </c>
      <c r="P31" s="139" t="s">
        <v>421</v>
      </c>
      <c r="Q31" s="139" t="s">
        <v>41</v>
      </c>
      <c r="R31" s="141"/>
      <c r="S31" s="139"/>
      <c r="T31" s="132" t="s">
        <v>393</v>
      </c>
      <c r="U31" s="125"/>
      <c r="V31" s="125"/>
      <c r="W31" s="125"/>
      <c r="X31" s="125"/>
      <c r="Y31" s="125"/>
      <c r="Z31" s="125"/>
      <c r="AB31" s="17"/>
    </row>
    <row r="32" spans="1:28">
      <c r="B32" s="126" t="s">
        <v>49</v>
      </c>
      <c r="C32" s="125">
        <v>2023</v>
      </c>
      <c r="D32" s="126" t="s">
        <v>589</v>
      </c>
      <c r="E32" s="130"/>
      <c r="F32" s="130" t="s">
        <v>290</v>
      </c>
      <c r="G32" s="127" t="s">
        <v>340</v>
      </c>
      <c r="H32" s="125" t="s">
        <v>50</v>
      </c>
      <c r="I32" s="128">
        <v>36145610</v>
      </c>
      <c r="J32" s="128" t="s">
        <v>494</v>
      </c>
      <c r="K32" s="125" t="s">
        <v>84</v>
      </c>
      <c r="L32" s="129">
        <v>33565</v>
      </c>
      <c r="M32" s="133">
        <f t="shared" ca="1" si="0"/>
        <v>33</v>
      </c>
      <c r="N32" s="139" t="s">
        <v>82</v>
      </c>
      <c r="O32" s="139" t="s">
        <v>421</v>
      </c>
      <c r="P32" s="139" t="s">
        <v>421</v>
      </c>
      <c r="Q32" s="139" t="s">
        <v>41</v>
      </c>
      <c r="R32" s="141" t="s">
        <v>495</v>
      </c>
      <c r="S32" s="139"/>
      <c r="T32" s="132" t="s">
        <v>395</v>
      </c>
      <c r="U32" s="125"/>
      <c r="V32" s="125"/>
      <c r="W32" s="125"/>
      <c r="X32" s="125"/>
      <c r="Y32" s="125"/>
      <c r="Z32" s="125"/>
      <c r="AB32" s="17"/>
    </row>
    <row r="33" spans="2:28">
      <c r="B33" s="126" t="s">
        <v>49</v>
      </c>
      <c r="C33" s="125">
        <v>2023</v>
      </c>
      <c r="D33" s="126" t="s">
        <v>590</v>
      </c>
      <c r="E33" s="259"/>
      <c r="F33" s="130" t="s">
        <v>289</v>
      </c>
      <c r="G33" s="127" t="s">
        <v>314</v>
      </c>
      <c r="H33" s="125" t="s">
        <v>50</v>
      </c>
      <c r="I33" s="128">
        <v>45486420</v>
      </c>
      <c r="J33" s="128" t="s">
        <v>496</v>
      </c>
      <c r="K33" s="125" t="s">
        <v>81</v>
      </c>
      <c r="L33" s="129">
        <v>38100</v>
      </c>
      <c r="M33" s="133">
        <f t="shared" ca="1" si="0"/>
        <v>20</v>
      </c>
      <c r="N33" s="139" t="s">
        <v>82</v>
      </c>
      <c r="O33" s="139" t="s">
        <v>421</v>
      </c>
      <c r="P33" s="139" t="s">
        <v>421</v>
      </c>
      <c r="Q33" s="139" t="s">
        <v>41</v>
      </c>
      <c r="R33" s="143" t="s">
        <v>497</v>
      </c>
      <c r="S33" s="139"/>
      <c r="T33" s="132" t="s">
        <v>394</v>
      </c>
      <c r="U33" s="125"/>
      <c r="V33" s="125"/>
      <c r="W33" s="125"/>
      <c r="X33" s="125"/>
      <c r="Y33" s="125"/>
      <c r="Z33" s="125"/>
      <c r="AB33" s="17"/>
    </row>
    <row r="34" spans="2:28">
      <c r="B34" s="126" t="s">
        <v>49</v>
      </c>
      <c r="C34" s="125">
        <v>2023</v>
      </c>
      <c r="D34" s="126" t="s">
        <v>591</v>
      </c>
      <c r="E34" s="130"/>
      <c r="F34" s="130" t="s">
        <v>291</v>
      </c>
      <c r="G34" s="127" t="s">
        <v>341</v>
      </c>
      <c r="H34" s="125" t="s">
        <v>50</v>
      </c>
      <c r="I34" s="128">
        <v>39056833</v>
      </c>
      <c r="J34" s="128" t="s">
        <v>498</v>
      </c>
      <c r="K34" s="125" t="s">
        <v>84</v>
      </c>
      <c r="L34" s="129">
        <v>34892</v>
      </c>
      <c r="M34" s="133">
        <f t="shared" ref="M34:M57" ca="1" si="1">+YEAR(TODAY())-YEAR(L34)</f>
        <v>29</v>
      </c>
      <c r="N34" s="139" t="s">
        <v>82</v>
      </c>
      <c r="O34" s="139" t="s">
        <v>421</v>
      </c>
      <c r="P34" s="139" t="s">
        <v>421</v>
      </c>
      <c r="Q34" s="139" t="s">
        <v>41</v>
      </c>
      <c r="R34" s="141" t="s">
        <v>499</v>
      </c>
      <c r="S34" s="139"/>
      <c r="T34" s="132" t="s">
        <v>396</v>
      </c>
      <c r="U34" s="125"/>
      <c r="V34" s="125"/>
      <c r="W34" s="125"/>
      <c r="X34" s="125"/>
      <c r="Y34" s="125"/>
      <c r="Z34" s="125"/>
      <c r="AB34" s="17"/>
    </row>
    <row r="35" spans="2:28">
      <c r="B35" s="126" t="s">
        <v>49</v>
      </c>
      <c r="C35" s="125">
        <v>2023</v>
      </c>
      <c r="D35" s="126" t="s">
        <v>592</v>
      </c>
      <c r="E35" s="130"/>
      <c r="F35" s="130" t="s">
        <v>291</v>
      </c>
      <c r="G35" s="127" t="s">
        <v>342</v>
      </c>
      <c r="H35" s="125" t="s">
        <v>50</v>
      </c>
      <c r="I35" s="128">
        <v>40105729</v>
      </c>
      <c r="J35" s="128" t="s">
        <v>500</v>
      </c>
      <c r="K35" s="125" t="s">
        <v>84</v>
      </c>
      <c r="L35" s="129">
        <v>34216</v>
      </c>
      <c r="M35" s="133">
        <f t="shared" ca="1" si="1"/>
        <v>31</v>
      </c>
      <c r="N35" s="139" t="s">
        <v>82</v>
      </c>
      <c r="O35" s="139" t="s">
        <v>421</v>
      </c>
      <c r="P35" s="139" t="s">
        <v>421</v>
      </c>
      <c r="Q35" s="139" t="s">
        <v>41</v>
      </c>
      <c r="R35" s="141" t="s">
        <v>501</v>
      </c>
      <c r="S35" s="139"/>
      <c r="T35" s="132" t="s">
        <v>397</v>
      </c>
      <c r="U35" s="125"/>
      <c r="V35" s="125"/>
      <c r="W35" s="125"/>
      <c r="X35" s="125"/>
      <c r="Y35" s="125"/>
      <c r="Z35" s="125"/>
      <c r="AB35" s="17"/>
    </row>
    <row r="36" spans="2:28">
      <c r="B36" s="126" t="s">
        <v>49</v>
      </c>
      <c r="C36" s="125">
        <v>2023</v>
      </c>
      <c r="D36" s="126" t="s">
        <v>593</v>
      </c>
      <c r="E36" s="130"/>
      <c r="F36" s="130" t="s">
        <v>292</v>
      </c>
      <c r="G36" s="127" t="s">
        <v>343</v>
      </c>
      <c r="H36" s="125" t="s">
        <v>50</v>
      </c>
      <c r="I36" s="128">
        <v>43880497</v>
      </c>
      <c r="J36" s="128" t="s">
        <v>502</v>
      </c>
      <c r="K36" s="125" t="s">
        <v>81</v>
      </c>
      <c r="L36" s="129">
        <v>37294</v>
      </c>
      <c r="M36" s="133">
        <f t="shared" ca="1" si="1"/>
        <v>22</v>
      </c>
      <c r="N36" s="139" t="s">
        <v>82</v>
      </c>
      <c r="O36" s="139" t="s">
        <v>421</v>
      </c>
      <c r="P36" s="139" t="s">
        <v>421</v>
      </c>
      <c r="Q36" s="139" t="s">
        <v>41</v>
      </c>
      <c r="R36" s="141" t="s">
        <v>503</v>
      </c>
      <c r="S36" s="139"/>
      <c r="T36" s="132" t="s">
        <v>398</v>
      </c>
      <c r="U36" s="125"/>
      <c r="V36" s="125"/>
      <c r="W36" s="125"/>
      <c r="X36" s="125"/>
      <c r="Y36" s="125"/>
      <c r="Z36" s="125"/>
      <c r="AB36" s="17"/>
    </row>
    <row r="37" spans="2:28">
      <c r="B37" s="126" t="s">
        <v>49</v>
      </c>
      <c r="C37" s="125">
        <v>2023</v>
      </c>
      <c r="D37" s="126" t="s">
        <v>594</v>
      </c>
      <c r="E37" s="130"/>
      <c r="F37" s="130" t="s">
        <v>293</v>
      </c>
      <c r="G37" s="127" t="s">
        <v>344</v>
      </c>
      <c r="H37" s="125" t="s">
        <v>50</v>
      </c>
      <c r="I37" s="128">
        <v>46032114</v>
      </c>
      <c r="J37" s="128" t="s">
        <v>504</v>
      </c>
      <c r="K37" s="125" t="s">
        <v>84</v>
      </c>
      <c r="L37" s="129">
        <v>38351</v>
      </c>
      <c r="M37" s="133">
        <f t="shared" ca="1" si="1"/>
        <v>20</v>
      </c>
      <c r="N37" s="139" t="s">
        <v>82</v>
      </c>
      <c r="O37" s="139" t="s">
        <v>421</v>
      </c>
      <c r="P37" s="139" t="s">
        <v>421</v>
      </c>
      <c r="Q37" s="139" t="s">
        <v>41</v>
      </c>
      <c r="R37" s="141" t="s">
        <v>505</v>
      </c>
      <c r="S37" s="139"/>
      <c r="T37" s="132" t="s">
        <v>399</v>
      </c>
      <c r="U37" s="125"/>
      <c r="V37" s="125"/>
      <c r="W37" s="125"/>
      <c r="X37" s="125"/>
      <c r="Y37" s="125"/>
      <c r="Z37" s="125"/>
      <c r="AB37" s="17"/>
    </row>
    <row r="38" spans="2:28">
      <c r="B38" s="126" t="s">
        <v>49</v>
      </c>
      <c r="C38" s="125">
        <v>2023</v>
      </c>
      <c r="D38" s="126" t="s">
        <v>595</v>
      </c>
      <c r="E38" s="130"/>
      <c r="F38" s="130" t="s">
        <v>294</v>
      </c>
      <c r="G38" s="127" t="s">
        <v>345</v>
      </c>
      <c r="H38" s="125" t="s">
        <v>50</v>
      </c>
      <c r="I38" s="128">
        <v>44971981</v>
      </c>
      <c r="J38" s="128" t="s">
        <v>506</v>
      </c>
      <c r="K38" s="125" t="s">
        <v>81</v>
      </c>
      <c r="L38" s="129">
        <v>37881</v>
      </c>
      <c r="M38" s="133">
        <f t="shared" ca="1" si="1"/>
        <v>21</v>
      </c>
      <c r="N38" s="139" t="s">
        <v>82</v>
      </c>
      <c r="O38" s="139" t="s">
        <v>421</v>
      </c>
      <c r="P38" s="139" t="s">
        <v>421</v>
      </c>
      <c r="Q38" s="139" t="s">
        <v>41</v>
      </c>
      <c r="R38" s="141" t="s">
        <v>507</v>
      </c>
      <c r="S38" s="139"/>
      <c r="T38" s="132" t="s">
        <v>400</v>
      </c>
      <c r="U38" s="125"/>
      <c r="V38" s="125"/>
      <c r="W38" s="125"/>
      <c r="X38" s="125"/>
      <c r="Y38" s="125"/>
      <c r="Z38" s="125"/>
      <c r="AB38" s="17"/>
    </row>
    <row r="39" spans="2:28">
      <c r="B39" s="126" t="s">
        <v>49</v>
      </c>
      <c r="C39" s="125">
        <v>2023</v>
      </c>
      <c r="D39" s="126" t="s">
        <v>596</v>
      </c>
      <c r="E39" s="130"/>
      <c r="F39" s="130" t="s">
        <v>295</v>
      </c>
      <c r="G39" s="127" t="s">
        <v>346</v>
      </c>
      <c r="H39" s="125" t="s">
        <v>50</v>
      </c>
      <c r="I39" s="128">
        <v>45153597</v>
      </c>
      <c r="J39" s="128" t="s">
        <v>508</v>
      </c>
      <c r="K39" s="125" t="s">
        <v>81</v>
      </c>
      <c r="L39" s="129">
        <v>37973</v>
      </c>
      <c r="M39" s="133">
        <f t="shared" ca="1" si="1"/>
        <v>21</v>
      </c>
      <c r="N39" s="139" t="s">
        <v>82</v>
      </c>
      <c r="O39" s="139" t="s">
        <v>421</v>
      </c>
      <c r="P39" s="139" t="s">
        <v>421</v>
      </c>
      <c r="Q39" s="139" t="s">
        <v>41</v>
      </c>
      <c r="R39" s="141" t="s">
        <v>509</v>
      </c>
      <c r="S39" s="139"/>
      <c r="T39" s="132" t="s">
        <v>401</v>
      </c>
      <c r="U39" s="125"/>
      <c r="V39" s="125"/>
      <c r="W39" s="125"/>
      <c r="X39" s="125"/>
      <c r="Y39" s="125"/>
      <c r="Z39" s="125"/>
      <c r="AB39" s="17"/>
    </row>
    <row r="40" spans="2:28">
      <c r="B40" s="126" t="s">
        <v>49</v>
      </c>
      <c r="C40" s="125">
        <v>2023</v>
      </c>
      <c r="D40" s="126" t="s">
        <v>597</v>
      </c>
      <c r="E40" s="130"/>
      <c r="F40" s="130" t="s">
        <v>296</v>
      </c>
      <c r="G40" s="127" t="s">
        <v>347</v>
      </c>
      <c r="H40" s="125" t="s">
        <v>50</v>
      </c>
      <c r="I40" s="128">
        <v>96034083</v>
      </c>
      <c r="J40" s="128" t="s">
        <v>510</v>
      </c>
      <c r="K40" s="125" t="s">
        <v>84</v>
      </c>
      <c r="L40" s="129">
        <v>36318</v>
      </c>
      <c r="M40" s="133">
        <f t="shared" ca="1" si="1"/>
        <v>25</v>
      </c>
      <c r="N40" s="139" t="s">
        <v>512</v>
      </c>
      <c r="O40" s="139" t="s">
        <v>513</v>
      </c>
      <c r="P40" s="139" t="s">
        <v>514</v>
      </c>
      <c r="Q40" s="139" t="s">
        <v>444</v>
      </c>
      <c r="R40" s="141" t="s">
        <v>511</v>
      </c>
      <c r="S40" s="139"/>
      <c r="T40" s="132" t="s">
        <v>402</v>
      </c>
      <c r="U40" s="125"/>
      <c r="V40" s="125"/>
      <c r="W40" s="125"/>
      <c r="X40" s="125"/>
      <c r="Y40" s="125"/>
      <c r="Z40" s="125"/>
      <c r="AB40" s="17"/>
    </row>
    <row r="41" spans="2:28">
      <c r="B41" s="126" t="s">
        <v>49</v>
      </c>
      <c r="C41" s="125">
        <v>2023</v>
      </c>
      <c r="D41" s="148" t="s">
        <v>558</v>
      </c>
      <c r="E41" s="130"/>
      <c r="F41" s="130" t="s">
        <v>297</v>
      </c>
      <c r="G41" s="127" t="s">
        <v>348</v>
      </c>
      <c r="H41" s="125" t="s">
        <v>50</v>
      </c>
      <c r="I41" s="128">
        <v>41349092</v>
      </c>
      <c r="J41" s="128" t="s">
        <v>515</v>
      </c>
      <c r="K41" s="125" t="s">
        <v>81</v>
      </c>
      <c r="L41" s="129">
        <v>35991</v>
      </c>
      <c r="M41" s="133">
        <f t="shared" ca="1" si="1"/>
        <v>26</v>
      </c>
      <c r="N41" s="139" t="s">
        <v>82</v>
      </c>
      <c r="O41" s="139" t="s">
        <v>421</v>
      </c>
      <c r="P41" s="139" t="s">
        <v>421</v>
      </c>
      <c r="Q41" s="139" t="s">
        <v>41</v>
      </c>
      <c r="R41" s="141" t="s">
        <v>516</v>
      </c>
      <c r="S41" s="139"/>
      <c r="T41" s="132" t="s">
        <v>403</v>
      </c>
      <c r="U41" s="125"/>
      <c r="V41" s="125"/>
      <c r="W41" s="125"/>
      <c r="X41" s="125"/>
      <c r="Y41" s="125"/>
      <c r="Z41" s="125"/>
      <c r="AB41" s="17"/>
    </row>
    <row r="42" spans="2:28">
      <c r="B42" s="126" t="s">
        <v>49</v>
      </c>
      <c r="C42" s="125">
        <v>2023</v>
      </c>
      <c r="D42" s="126" t="s">
        <v>598</v>
      </c>
      <c r="E42" s="130"/>
      <c r="F42" s="130" t="s">
        <v>297</v>
      </c>
      <c r="G42" s="127" t="s">
        <v>349</v>
      </c>
      <c r="H42" s="125" t="s">
        <v>50</v>
      </c>
      <c r="I42" s="128">
        <v>45690265</v>
      </c>
      <c r="J42" s="128" t="s">
        <v>517</v>
      </c>
      <c r="K42" s="125" t="s">
        <v>81</v>
      </c>
      <c r="L42" s="129">
        <v>38138</v>
      </c>
      <c r="M42" s="133">
        <f t="shared" ca="1" si="1"/>
        <v>20</v>
      </c>
      <c r="N42" s="139" t="s">
        <v>82</v>
      </c>
      <c r="O42" s="139" t="s">
        <v>421</v>
      </c>
      <c r="P42" s="139" t="s">
        <v>421</v>
      </c>
      <c r="Q42" s="139" t="s">
        <v>41</v>
      </c>
      <c r="R42" s="141" t="s">
        <v>518</v>
      </c>
      <c r="S42" s="139"/>
      <c r="T42" s="132" t="s">
        <v>404</v>
      </c>
      <c r="U42" s="125"/>
      <c r="V42" s="125"/>
      <c r="W42" s="125"/>
      <c r="X42" s="125"/>
      <c r="Y42" s="125"/>
      <c r="Z42" s="125"/>
      <c r="AB42" s="17"/>
    </row>
    <row r="43" spans="2:28">
      <c r="B43" s="126" t="s">
        <v>49</v>
      </c>
      <c r="C43" s="125">
        <v>2023</v>
      </c>
      <c r="D43" s="126" t="s">
        <v>599</v>
      </c>
      <c r="E43" s="130"/>
      <c r="F43" s="130" t="s">
        <v>298</v>
      </c>
      <c r="G43" s="127" t="s">
        <v>350</v>
      </c>
      <c r="H43" s="125" t="s">
        <v>50</v>
      </c>
      <c r="I43" s="128">
        <v>45832994</v>
      </c>
      <c r="J43" s="128" t="s">
        <v>519</v>
      </c>
      <c r="K43" s="125" t="s">
        <v>81</v>
      </c>
      <c r="L43" s="129">
        <v>38320</v>
      </c>
      <c r="M43" s="133">
        <f t="shared" ca="1" si="1"/>
        <v>20</v>
      </c>
      <c r="N43" s="139" t="s">
        <v>82</v>
      </c>
      <c r="O43" s="139" t="s">
        <v>421</v>
      </c>
      <c r="P43" s="139" t="s">
        <v>421</v>
      </c>
      <c r="Q43" s="139" t="s">
        <v>41</v>
      </c>
      <c r="R43" s="141" t="s">
        <v>520</v>
      </c>
      <c r="S43" s="139"/>
      <c r="T43" s="132" t="s">
        <v>405</v>
      </c>
      <c r="U43" s="125"/>
      <c r="V43" s="125"/>
      <c r="W43" s="125"/>
      <c r="X43" s="125"/>
      <c r="Y43" s="125"/>
      <c r="Z43" s="125"/>
      <c r="AB43" s="17"/>
    </row>
    <row r="44" spans="2:28">
      <c r="B44" s="126" t="s">
        <v>49</v>
      </c>
      <c r="C44" s="125">
        <v>2023</v>
      </c>
      <c r="D44" s="126" t="s">
        <v>600</v>
      </c>
      <c r="E44" s="130"/>
      <c r="F44" s="130" t="s">
        <v>298</v>
      </c>
      <c r="G44" s="127" t="s">
        <v>351</v>
      </c>
      <c r="H44" s="125" t="s">
        <v>50</v>
      </c>
      <c r="I44" s="128">
        <v>21696542</v>
      </c>
      <c r="J44" s="128" t="s">
        <v>521</v>
      </c>
      <c r="K44" s="125" t="s">
        <v>81</v>
      </c>
      <c r="L44" s="129">
        <v>25964</v>
      </c>
      <c r="M44" s="133">
        <f t="shared" ca="1" si="1"/>
        <v>53</v>
      </c>
      <c r="N44" s="139" t="s">
        <v>522</v>
      </c>
      <c r="O44" s="139" t="s">
        <v>523</v>
      </c>
      <c r="P44" s="139" t="s">
        <v>524</v>
      </c>
      <c r="Q44" s="139" t="s">
        <v>41</v>
      </c>
      <c r="R44" s="141"/>
      <c r="S44" s="139"/>
      <c r="T44" s="132" t="s">
        <v>406</v>
      </c>
      <c r="U44" s="125"/>
      <c r="V44" s="125"/>
      <c r="W44" s="125"/>
      <c r="X44" s="125"/>
      <c r="Y44" s="125"/>
      <c r="Z44" s="125"/>
      <c r="AB44" s="17"/>
    </row>
    <row r="45" spans="2:28">
      <c r="B45" s="126" t="s">
        <v>49</v>
      </c>
      <c r="C45" s="125">
        <v>2023</v>
      </c>
      <c r="D45" s="126" t="s">
        <v>601</v>
      </c>
      <c r="E45" s="130"/>
      <c r="F45" s="130" t="s">
        <v>299</v>
      </c>
      <c r="G45" s="127" t="s">
        <v>352</v>
      </c>
      <c r="H45" s="125" t="s">
        <v>50</v>
      </c>
      <c r="I45" s="128">
        <v>45693658</v>
      </c>
      <c r="J45" s="128" t="s">
        <v>525</v>
      </c>
      <c r="K45" s="125" t="s">
        <v>81</v>
      </c>
      <c r="L45" s="129">
        <v>38251</v>
      </c>
      <c r="M45" s="133">
        <f t="shared" ca="1" si="1"/>
        <v>20</v>
      </c>
      <c r="N45" s="139" t="s">
        <v>82</v>
      </c>
      <c r="O45" s="139" t="s">
        <v>421</v>
      </c>
      <c r="P45" s="139" t="s">
        <v>421</v>
      </c>
      <c r="Q45" s="139" t="s">
        <v>41</v>
      </c>
      <c r="R45" s="141" t="s">
        <v>526</v>
      </c>
      <c r="S45" s="139"/>
      <c r="T45" s="132" t="s">
        <v>407</v>
      </c>
      <c r="U45" s="125"/>
      <c r="V45" s="125"/>
      <c r="W45" s="125"/>
      <c r="X45" s="125"/>
      <c r="Y45" s="125"/>
      <c r="Z45" s="125"/>
      <c r="AB45" s="17"/>
    </row>
    <row r="46" spans="2:28">
      <c r="B46" s="126" t="s">
        <v>49</v>
      </c>
      <c r="C46" s="125">
        <v>2023</v>
      </c>
      <c r="D46" s="126" t="s">
        <v>602</v>
      </c>
      <c r="E46" s="130"/>
      <c r="F46" s="130" t="s">
        <v>300</v>
      </c>
      <c r="G46" s="127" t="s">
        <v>353</v>
      </c>
      <c r="H46" s="125" t="s">
        <v>50</v>
      </c>
      <c r="I46" s="128">
        <v>40249936</v>
      </c>
      <c r="J46" s="128" t="s">
        <v>527</v>
      </c>
      <c r="K46" s="125" t="s">
        <v>84</v>
      </c>
      <c r="L46" s="129">
        <v>34794</v>
      </c>
      <c r="M46" s="133">
        <f t="shared" ca="1" si="1"/>
        <v>29</v>
      </c>
      <c r="N46" s="139" t="s">
        <v>82</v>
      </c>
      <c r="O46" s="139" t="s">
        <v>421</v>
      </c>
      <c r="P46" s="139" t="s">
        <v>421</v>
      </c>
      <c r="Q46" s="139" t="s">
        <v>41</v>
      </c>
      <c r="R46" s="141" t="s">
        <v>528</v>
      </c>
      <c r="S46" s="139"/>
      <c r="T46" s="132" t="s">
        <v>408</v>
      </c>
      <c r="U46" s="125"/>
      <c r="V46" s="125"/>
      <c r="W46" s="125"/>
      <c r="X46" s="125"/>
      <c r="Y46" s="125"/>
      <c r="Z46" s="125"/>
      <c r="AB46" s="17"/>
    </row>
    <row r="47" spans="2:28">
      <c r="B47" s="126" t="s">
        <v>49</v>
      </c>
      <c r="C47" s="125">
        <v>2023</v>
      </c>
      <c r="D47" s="126" t="s">
        <v>603</v>
      </c>
      <c r="E47" s="130"/>
      <c r="F47" s="130" t="s">
        <v>300</v>
      </c>
      <c r="G47" s="127" t="s">
        <v>354</v>
      </c>
      <c r="H47" s="125" t="s">
        <v>50</v>
      </c>
      <c r="I47" s="128">
        <v>43559569</v>
      </c>
      <c r="J47" s="128" t="s">
        <v>529</v>
      </c>
      <c r="K47" s="125" t="s">
        <v>81</v>
      </c>
      <c r="L47" s="129">
        <v>37090</v>
      </c>
      <c r="M47" s="133">
        <f t="shared" ca="1" si="1"/>
        <v>23</v>
      </c>
      <c r="N47" s="139" t="s">
        <v>82</v>
      </c>
      <c r="O47" s="139" t="s">
        <v>421</v>
      </c>
      <c r="P47" s="139" t="s">
        <v>421</v>
      </c>
      <c r="Q47" s="139" t="s">
        <v>41</v>
      </c>
      <c r="R47" s="141" t="s">
        <v>530</v>
      </c>
      <c r="S47" s="139"/>
      <c r="T47" s="132" t="s">
        <v>409</v>
      </c>
      <c r="U47" s="125"/>
      <c r="V47" s="125"/>
      <c r="W47" s="125"/>
      <c r="X47" s="125"/>
      <c r="Y47" s="125"/>
      <c r="Z47" s="125"/>
      <c r="AB47" s="17"/>
    </row>
    <row r="48" spans="2:28">
      <c r="B48" s="126" t="s">
        <v>49</v>
      </c>
      <c r="C48" s="125">
        <v>2023</v>
      </c>
      <c r="D48" s="126" t="s">
        <v>604</v>
      </c>
      <c r="E48" s="130"/>
      <c r="F48" s="130" t="s">
        <v>301</v>
      </c>
      <c r="G48" s="127" t="s">
        <v>355</v>
      </c>
      <c r="H48" s="125" t="s">
        <v>50</v>
      </c>
      <c r="I48" s="128">
        <v>42107504</v>
      </c>
      <c r="J48" s="128" t="s">
        <v>531</v>
      </c>
      <c r="K48" s="125" t="s">
        <v>84</v>
      </c>
      <c r="L48" s="129">
        <v>36280</v>
      </c>
      <c r="M48" s="133">
        <f t="shared" ca="1" si="1"/>
        <v>25</v>
      </c>
      <c r="N48" s="139" t="s">
        <v>82</v>
      </c>
      <c r="O48" s="139" t="s">
        <v>421</v>
      </c>
      <c r="P48" s="139" t="s">
        <v>421</v>
      </c>
      <c r="Q48" s="139" t="s">
        <v>41</v>
      </c>
      <c r="R48" s="141" t="s">
        <v>532</v>
      </c>
      <c r="S48" s="139"/>
      <c r="T48" s="132" t="s">
        <v>410</v>
      </c>
      <c r="U48" s="125"/>
      <c r="V48" s="125"/>
      <c r="W48" s="125"/>
      <c r="X48" s="125"/>
      <c r="Y48" s="125"/>
      <c r="Z48" s="125"/>
      <c r="AB48" s="17"/>
    </row>
    <row r="49" spans="2:28">
      <c r="B49" s="137" t="s">
        <v>434</v>
      </c>
      <c r="C49" s="125">
        <v>2023</v>
      </c>
      <c r="D49" s="126" t="s">
        <v>605</v>
      </c>
      <c r="E49" s="130"/>
      <c r="F49" s="130" t="s">
        <v>302</v>
      </c>
      <c r="G49" s="127" t="s">
        <v>356</v>
      </c>
      <c r="H49" s="125" t="s">
        <v>50</v>
      </c>
      <c r="I49" s="128">
        <v>20234617</v>
      </c>
      <c r="J49" s="128" t="s">
        <v>533</v>
      </c>
      <c r="K49" s="125" t="s">
        <v>81</v>
      </c>
      <c r="L49" s="129">
        <v>25066</v>
      </c>
      <c r="M49" s="133">
        <f t="shared" ca="1" si="1"/>
        <v>56</v>
      </c>
      <c r="N49" s="139" t="s">
        <v>82</v>
      </c>
      <c r="O49" s="139" t="s">
        <v>421</v>
      </c>
      <c r="P49" s="139" t="s">
        <v>421</v>
      </c>
      <c r="Q49" s="139" t="s">
        <v>41</v>
      </c>
      <c r="R49" s="141" t="s">
        <v>534</v>
      </c>
      <c r="S49" s="139"/>
      <c r="T49" s="132" t="s">
        <v>411</v>
      </c>
      <c r="U49" s="125"/>
      <c r="V49" s="125"/>
      <c r="W49" s="125"/>
      <c r="X49" s="125"/>
      <c r="Y49" s="125"/>
      <c r="Z49" s="125"/>
      <c r="AB49" s="17"/>
    </row>
    <row r="50" spans="2:28">
      <c r="B50" s="137" t="s">
        <v>49</v>
      </c>
      <c r="C50" s="125">
        <v>2023</v>
      </c>
      <c r="D50" s="126" t="s">
        <v>606</v>
      </c>
      <c r="E50" s="130"/>
      <c r="F50" s="130" t="s">
        <v>303</v>
      </c>
      <c r="G50" s="127" t="s">
        <v>357</v>
      </c>
      <c r="H50" s="125" t="s">
        <v>50</v>
      </c>
      <c r="I50" s="128">
        <v>46033394</v>
      </c>
      <c r="J50" s="128" t="s">
        <v>535</v>
      </c>
      <c r="K50" s="125" t="s">
        <v>81</v>
      </c>
      <c r="L50" s="129">
        <v>38503</v>
      </c>
      <c r="M50" s="133">
        <f t="shared" ca="1" si="1"/>
        <v>19</v>
      </c>
      <c r="N50" s="139" t="s">
        <v>82</v>
      </c>
      <c r="O50" s="139" t="s">
        <v>421</v>
      </c>
      <c r="P50" s="139" t="s">
        <v>421</v>
      </c>
      <c r="Q50" s="139" t="s">
        <v>41</v>
      </c>
      <c r="R50" s="141" t="s">
        <v>536</v>
      </c>
      <c r="S50" s="139"/>
      <c r="T50" s="132" t="s">
        <v>412</v>
      </c>
      <c r="U50" s="125"/>
      <c r="V50" s="125"/>
      <c r="W50" s="125"/>
      <c r="X50" s="125"/>
      <c r="Y50" s="125"/>
      <c r="Z50" s="125"/>
      <c r="AB50" s="17"/>
    </row>
    <row r="51" spans="2:28">
      <c r="B51" s="137" t="s">
        <v>434</v>
      </c>
      <c r="C51" s="125">
        <v>2023</v>
      </c>
      <c r="D51" s="126" t="s">
        <v>607</v>
      </c>
      <c r="E51" s="130"/>
      <c r="F51" s="130" t="s">
        <v>303</v>
      </c>
      <c r="G51" s="127" t="s">
        <v>358</v>
      </c>
      <c r="H51" s="125" t="s">
        <v>50</v>
      </c>
      <c r="I51" s="128">
        <v>17531067</v>
      </c>
      <c r="J51" s="128" t="s">
        <v>537</v>
      </c>
      <c r="K51" s="125" t="s">
        <v>84</v>
      </c>
      <c r="L51" s="129">
        <v>23541</v>
      </c>
      <c r="M51" s="133">
        <f t="shared" ca="1" si="1"/>
        <v>60</v>
      </c>
      <c r="N51" s="139" t="s">
        <v>82</v>
      </c>
      <c r="O51" s="139" t="s">
        <v>421</v>
      </c>
      <c r="P51" s="139" t="s">
        <v>421</v>
      </c>
      <c r="Q51" s="139" t="s">
        <v>41</v>
      </c>
      <c r="R51" s="141" t="s">
        <v>538</v>
      </c>
      <c r="S51" s="139"/>
      <c r="T51" s="132" t="s">
        <v>413</v>
      </c>
      <c r="U51" s="125"/>
      <c r="V51" s="125"/>
      <c r="W51" s="125"/>
      <c r="X51" s="125"/>
      <c r="Y51" s="125"/>
      <c r="Z51" s="125"/>
      <c r="AB51" s="17"/>
    </row>
    <row r="52" spans="2:28">
      <c r="B52" s="126" t="s">
        <v>49</v>
      </c>
      <c r="C52" s="125">
        <v>2023</v>
      </c>
      <c r="D52" s="126" t="s">
        <v>608</v>
      </c>
      <c r="E52" s="130"/>
      <c r="F52" s="130" t="s">
        <v>304</v>
      </c>
      <c r="G52" s="127" t="s">
        <v>359</v>
      </c>
      <c r="H52" s="125" t="s">
        <v>50</v>
      </c>
      <c r="I52" s="128">
        <v>44272008</v>
      </c>
      <c r="J52" s="128" t="s">
        <v>539</v>
      </c>
      <c r="K52" s="125" t="s">
        <v>81</v>
      </c>
      <c r="L52" s="129">
        <v>37441</v>
      </c>
      <c r="M52" s="133">
        <f t="shared" ca="1" si="1"/>
        <v>22</v>
      </c>
      <c r="N52" s="139" t="s">
        <v>82</v>
      </c>
      <c r="O52" s="139" t="s">
        <v>421</v>
      </c>
      <c r="P52" s="139" t="s">
        <v>421</v>
      </c>
      <c r="Q52" s="139" t="s">
        <v>41</v>
      </c>
      <c r="R52" s="141" t="s">
        <v>540</v>
      </c>
      <c r="S52" s="139"/>
      <c r="T52" s="132" t="s">
        <v>414</v>
      </c>
      <c r="U52" s="125"/>
      <c r="V52" s="125"/>
      <c r="W52" s="125"/>
      <c r="X52" s="125"/>
      <c r="Y52" s="125"/>
      <c r="Z52" s="125"/>
      <c r="AB52" s="17"/>
    </row>
    <row r="53" spans="2:28">
      <c r="B53" s="137" t="s">
        <v>434</v>
      </c>
      <c r="C53" s="125">
        <v>2023</v>
      </c>
      <c r="D53" s="126" t="s">
        <v>609</v>
      </c>
      <c r="E53" s="130"/>
      <c r="F53" s="130" t="s">
        <v>305</v>
      </c>
      <c r="G53" s="127" t="s">
        <v>360</v>
      </c>
      <c r="H53" s="125" t="s">
        <v>50</v>
      </c>
      <c r="I53" s="128">
        <v>32001451</v>
      </c>
      <c r="J53" s="128" t="s">
        <v>541</v>
      </c>
      <c r="K53" s="125" t="s">
        <v>81</v>
      </c>
      <c r="L53" s="129">
        <v>31470</v>
      </c>
      <c r="M53" s="133">
        <f t="shared" ca="1" si="1"/>
        <v>38</v>
      </c>
      <c r="N53" s="139" t="s">
        <v>542</v>
      </c>
      <c r="O53" s="139" t="s">
        <v>543</v>
      </c>
      <c r="P53" s="139" t="s">
        <v>85</v>
      </c>
      <c r="Q53" s="139" t="s">
        <v>41</v>
      </c>
      <c r="R53" s="141"/>
      <c r="S53" s="139"/>
      <c r="T53" s="132" t="s">
        <v>415</v>
      </c>
      <c r="U53" s="125"/>
      <c r="V53" s="125"/>
      <c r="W53" s="125"/>
      <c r="X53" s="125"/>
      <c r="Y53" s="125"/>
      <c r="Z53" s="125"/>
      <c r="AB53" s="17"/>
    </row>
    <row r="54" spans="2:28">
      <c r="B54" s="126" t="s">
        <v>49</v>
      </c>
      <c r="C54" s="125">
        <v>2023</v>
      </c>
      <c r="D54" s="126" t="s">
        <v>610</v>
      </c>
      <c r="E54" s="130"/>
      <c r="F54" s="130" t="s">
        <v>306</v>
      </c>
      <c r="G54" s="127" t="s">
        <v>361</v>
      </c>
      <c r="H54" s="125" t="s">
        <v>50</v>
      </c>
      <c r="I54" s="128">
        <v>42338781</v>
      </c>
      <c r="J54" s="138" t="s">
        <v>544</v>
      </c>
      <c r="K54" s="125" t="s">
        <v>81</v>
      </c>
      <c r="L54" s="129">
        <v>36569</v>
      </c>
      <c r="M54" s="133">
        <f t="shared" ca="1" si="1"/>
        <v>24</v>
      </c>
      <c r="N54" s="139" t="s">
        <v>545</v>
      </c>
      <c r="O54" s="139" t="s">
        <v>546</v>
      </c>
      <c r="P54" s="139" t="s">
        <v>421</v>
      </c>
      <c r="Q54" s="139" t="s">
        <v>41</v>
      </c>
      <c r="R54" s="142" t="s">
        <v>547</v>
      </c>
      <c r="S54" s="139"/>
      <c r="T54" s="132" t="s">
        <v>416</v>
      </c>
      <c r="U54" s="125"/>
      <c r="V54" s="125"/>
      <c r="W54" s="125"/>
      <c r="X54" s="125"/>
      <c r="Y54" s="125"/>
      <c r="Z54" s="125"/>
      <c r="AB54" s="17"/>
    </row>
    <row r="55" spans="2:28">
      <c r="B55" s="126" t="s">
        <v>49</v>
      </c>
      <c r="C55" s="125">
        <v>2023</v>
      </c>
      <c r="D55" s="126" t="s">
        <v>611</v>
      </c>
      <c r="E55" s="130"/>
      <c r="F55" s="130" t="s">
        <v>307</v>
      </c>
      <c r="G55" s="127" t="s">
        <v>362</v>
      </c>
      <c r="H55" s="125" t="s">
        <v>50</v>
      </c>
      <c r="I55" s="128">
        <v>94089418</v>
      </c>
      <c r="J55" s="138" t="s">
        <v>548</v>
      </c>
      <c r="K55" s="125" t="s">
        <v>84</v>
      </c>
      <c r="L55" s="129">
        <v>34646</v>
      </c>
      <c r="M55" s="133">
        <f t="shared" ca="1" si="1"/>
        <v>30</v>
      </c>
      <c r="N55" s="139" t="s">
        <v>550</v>
      </c>
      <c r="O55" s="139" t="s">
        <v>551</v>
      </c>
      <c r="P55" s="139" t="s">
        <v>552</v>
      </c>
      <c r="Q55" s="139" t="s">
        <v>553</v>
      </c>
      <c r="R55" s="142" t="s">
        <v>549</v>
      </c>
      <c r="S55" s="139"/>
      <c r="T55" s="132" t="s">
        <v>417</v>
      </c>
      <c r="U55" s="125"/>
      <c r="V55" s="125"/>
      <c r="W55" s="125"/>
      <c r="X55" s="125"/>
      <c r="Y55" s="125"/>
      <c r="Z55" s="125"/>
      <c r="AB55" s="17"/>
    </row>
    <row r="56" spans="2:28">
      <c r="B56" s="126" t="s">
        <v>49</v>
      </c>
      <c r="C56" s="125">
        <v>2023</v>
      </c>
      <c r="D56" s="126" t="s">
        <v>612</v>
      </c>
      <c r="E56" s="130"/>
      <c r="F56" s="130" t="s">
        <v>308</v>
      </c>
      <c r="G56" s="127" t="s">
        <v>363</v>
      </c>
      <c r="H56" s="125" t="s">
        <v>50</v>
      </c>
      <c r="I56" s="128">
        <v>22772377</v>
      </c>
      <c r="J56" s="138" t="s">
        <v>554</v>
      </c>
      <c r="K56" s="125" t="s">
        <v>81</v>
      </c>
      <c r="L56" s="129">
        <v>26431</v>
      </c>
      <c r="M56" s="133">
        <f t="shared" ca="1" si="1"/>
        <v>52</v>
      </c>
      <c r="N56" s="139" t="s">
        <v>82</v>
      </c>
      <c r="O56" s="139" t="s">
        <v>421</v>
      </c>
      <c r="P56" s="139" t="s">
        <v>421</v>
      </c>
      <c r="Q56" s="139" t="s">
        <v>41</v>
      </c>
      <c r="R56" s="142" t="s">
        <v>555</v>
      </c>
      <c r="S56" s="139"/>
      <c r="T56" s="132" t="s">
        <v>418</v>
      </c>
      <c r="U56" s="125"/>
      <c r="V56" s="125"/>
      <c r="W56" s="125"/>
      <c r="X56" s="125"/>
      <c r="Y56" s="125"/>
      <c r="Z56" s="125"/>
      <c r="AB56" s="17"/>
    </row>
    <row r="57" spans="2:28">
      <c r="B57" s="126" t="s">
        <v>49</v>
      </c>
      <c r="C57" s="125">
        <v>2023</v>
      </c>
      <c r="D57" s="126" t="s">
        <v>613</v>
      </c>
      <c r="E57" s="130"/>
      <c r="F57" s="130" t="s">
        <v>309</v>
      </c>
      <c r="G57" s="127" t="s">
        <v>364</v>
      </c>
      <c r="H57" s="125" t="s">
        <v>50</v>
      </c>
      <c r="I57" s="128">
        <v>44580498</v>
      </c>
      <c r="J57" s="138" t="s">
        <v>556</v>
      </c>
      <c r="K57" s="125" t="s">
        <v>81</v>
      </c>
      <c r="L57" s="129">
        <v>37627</v>
      </c>
      <c r="M57" s="133">
        <f t="shared" ca="1" si="1"/>
        <v>21</v>
      </c>
      <c r="N57" s="139" t="s">
        <v>82</v>
      </c>
      <c r="O57" s="139" t="s">
        <v>421</v>
      </c>
      <c r="P57" s="139" t="s">
        <v>421</v>
      </c>
      <c r="Q57" s="139" t="s">
        <v>41</v>
      </c>
      <c r="R57" s="142" t="s">
        <v>557</v>
      </c>
      <c r="S57" s="139"/>
      <c r="T57" s="132" t="s">
        <v>419</v>
      </c>
      <c r="U57" s="125"/>
      <c r="V57" s="125"/>
      <c r="W57" s="125"/>
      <c r="X57" s="125"/>
      <c r="Y57" s="125"/>
      <c r="Z57" s="125"/>
      <c r="AB57" s="17"/>
    </row>
    <row r="58" spans="2:28">
      <c r="B58" s="37"/>
      <c r="C58" s="39"/>
      <c r="D58" s="39"/>
      <c r="E58" s="220"/>
      <c r="F58" s="124"/>
      <c r="G58" s="40"/>
      <c r="H58" s="39"/>
      <c r="I58" s="45"/>
      <c r="J58" s="135"/>
      <c r="K58" s="39"/>
      <c r="L58" s="39"/>
      <c r="M58" s="42"/>
      <c r="N58" s="40"/>
      <c r="O58" s="40"/>
      <c r="P58" s="40"/>
      <c r="Q58" s="40"/>
      <c r="R58" s="144"/>
      <c r="S58" s="40"/>
      <c r="T58" s="41"/>
    </row>
    <row r="60" spans="2:28">
      <c r="B60" s="37"/>
      <c r="C60" s="39"/>
      <c r="D60" s="39"/>
      <c r="E60" s="220"/>
      <c r="F60" s="124"/>
      <c r="G60" s="40"/>
      <c r="H60" s="39"/>
      <c r="I60" s="45"/>
      <c r="J60" s="135"/>
      <c r="K60" s="39"/>
      <c r="L60" s="39"/>
      <c r="M60" s="42"/>
      <c r="N60" s="40"/>
      <c r="O60" s="40"/>
      <c r="P60" s="40"/>
      <c r="Q60" s="40"/>
      <c r="R60" s="144"/>
      <c r="S60" s="40"/>
      <c r="T60" s="41"/>
    </row>
    <row r="61" spans="2:28">
      <c r="B61" s="37"/>
      <c r="C61" s="39"/>
      <c r="D61" s="39"/>
      <c r="E61" s="220"/>
      <c r="F61" s="124"/>
      <c r="G61" s="40"/>
      <c r="H61" s="39"/>
      <c r="I61" s="45"/>
      <c r="J61" s="135"/>
      <c r="K61" s="39"/>
      <c r="L61" s="39"/>
      <c r="M61" s="42"/>
      <c r="N61" s="40"/>
      <c r="O61" s="40"/>
      <c r="P61" s="40"/>
      <c r="Q61" s="40"/>
      <c r="R61" s="144"/>
      <c r="S61" s="40"/>
      <c r="T61" s="41"/>
    </row>
    <row r="63" spans="2:28">
      <c r="B63" s="37"/>
      <c r="C63" s="39"/>
      <c r="D63" s="39"/>
      <c r="E63" s="220"/>
      <c r="F63" s="124"/>
      <c r="G63" s="40"/>
      <c r="H63" s="39"/>
      <c r="I63" s="45"/>
      <c r="J63" s="135"/>
      <c r="K63" s="39"/>
      <c r="L63" s="39"/>
      <c r="M63" s="42"/>
      <c r="N63" s="40"/>
      <c r="O63" s="40"/>
      <c r="P63" s="40"/>
      <c r="Q63" s="40"/>
      <c r="R63" s="144"/>
      <c r="S63" s="40"/>
      <c r="T63" s="41"/>
    </row>
    <row r="64" spans="2:28">
      <c r="B64" s="37"/>
      <c r="C64" s="39"/>
      <c r="D64" s="39"/>
      <c r="E64" s="220"/>
      <c r="F64" s="124"/>
      <c r="G64" s="40"/>
      <c r="H64" s="39"/>
      <c r="I64" s="45"/>
      <c r="J64" s="135"/>
      <c r="K64" s="39"/>
      <c r="L64" s="39"/>
      <c r="M64" s="42"/>
      <c r="N64" s="40"/>
      <c r="O64" s="40"/>
      <c r="P64" s="40"/>
      <c r="Q64" s="40"/>
      <c r="R64" s="144"/>
      <c r="S64" s="40"/>
      <c r="T64" s="41"/>
    </row>
    <row r="65" spans="2:26">
      <c r="B65" s="37"/>
      <c r="C65" s="39"/>
      <c r="D65" s="39"/>
      <c r="E65" s="220"/>
      <c r="F65" s="124"/>
      <c r="G65" s="40"/>
      <c r="H65" s="39"/>
      <c r="I65" s="45"/>
      <c r="J65" s="135"/>
      <c r="K65" s="39"/>
      <c r="L65" s="39"/>
      <c r="M65" s="42"/>
      <c r="N65" s="40"/>
      <c r="O65" s="40"/>
      <c r="P65" s="40"/>
      <c r="Q65" s="40"/>
      <c r="R65" s="144"/>
      <c r="S65" s="40"/>
      <c r="T65" s="41"/>
    </row>
    <row r="66" spans="2:26">
      <c r="B66" s="37"/>
      <c r="C66" s="39"/>
      <c r="D66" s="39"/>
      <c r="E66" s="220"/>
      <c r="F66" s="124"/>
      <c r="G66" s="40"/>
      <c r="H66" s="39"/>
      <c r="I66" s="45"/>
      <c r="J66" s="135"/>
      <c r="K66" s="39"/>
      <c r="L66" s="39"/>
      <c r="M66" s="42"/>
      <c r="N66" s="40"/>
      <c r="O66" s="40"/>
      <c r="P66" s="40"/>
      <c r="Q66" s="40"/>
      <c r="R66" s="144"/>
      <c r="S66" s="40"/>
      <c r="T66" s="41"/>
    </row>
    <row r="67" spans="2:26">
      <c r="B67" s="37"/>
      <c r="C67" s="39"/>
      <c r="D67" s="39"/>
      <c r="E67" s="220"/>
      <c r="F67" s="124"/>
      <c r="G67" s="40"/>
      <c r="H67" s="39"/>
      <c r="I67" s="45"/>
      <c r="J67" s="135"/>
      <c r="K67" s="39"/>
      <c r="L67" s="39"/>
      <c r="M67" s="42"/>
      <c r="N67" s="40"/>
      <c r="O67" s="40"/>
      <c r="P67" s="40"/>
      <c r="Q67" s="40"/>
      <c r="R67" s="144"/>
      <c r="S67" s="40"/>
      <c r="T67" s="41"/>
    </row>
    <row r="68" spans="2:26">
      <c r="B68" s="37"/>
      <c r="C68" s="39"/>
      <c r="D68" s="39"/>
      <c r="E68" s="220"/>
      <c r="F68" s="124"/>
      <c r="G68" s="40"/>
      <c r="H68" s="39"/>
      <c r="I68" s="45"/>
      <c r="J68" s="135"/>
      <c r="K68" s="39"/>
      <c r="L68" s="39"/>
      <c r="M68" s="42"/>
      <c r="N68" s="40"/>
      <c r="O68" s="40"/>
      <c r="P68" s="40"/>
      <c r="Q68" s="40"/>
      <c r="R68" s="144"/>
      <c r="S68" s="40"/>
      <c r="T68" s="41"/>
    </row>
    <row r="69" spans="2:26">
      <c r="B69" s="37"/>
      <c r="C69" s="39"/>
      <c r="D69" s="39"/>
      <c r="E69" s="220"/>
      <c r="F69" s="124"/>
      <c r="G69" s="40"/>
      <c r="H69" s="39"/>
      <c r="I69" s="45"/>
      <c r="J69" s="135"/>
      <c r="K69" s="39"/>
      <c r="L69" s="39"/>
      <c r="M69" s="42"/>
      <c r="N69" s="40"/>
      <c r="O69" s="40"/>
      <c r="P69" s="40"/>
      <c r="Q69" s="40"/>
      <c r="R69" s="144"/>
      <c r="S69" s="40"/>
      <c r="T69" s="41"/>
    </row>
    <row r="70" spans="2:26">
      <c r="B70" s="37"/>
      <c r="C70" s="39"/>
      <c r="D70" s="39"/>
      <c r="E70" s="220"/>
      <c r="F70" s="124"/>
      <c r="G70" s="40"/>
      <c r="H70" s="39"/>
      <c r="I70" s="45"/>
      <c r="J70" s="135"/>
      <c r="K70" s="39"/>
      <c r="L70" s="39"/>
      <c r="M70" s="42"/>
      <c r="N70" s="40"/>
      <c r="O70" s="40"/>
      <c r="P70" s="40"/>
      <c r="Q70" s="40"/>
      <c r="R70" s="144"/>
      <c r="S70" s="40"/>
      <c r="T70" s="41"/>
    </row>
    <row r="71" spans="2:26">
      <c r="B71" s="37"/>
      <c r="C71" s="39"/>
      <c r="D71" s="39"/>
      <c r="E71" s="220"/>
      <c r="F71" s="124"/>
      <c r="G71" s="40"/>
      <c r="H71" s="39"/>
      <c r="I71" s="45"/>
      <c r="J71" s="135"/>
      <c r="K71" s="39"/>
      <c r="L71" s="39"/>
      <c r="M71" s="42"/>
      <c r="N71" s="40"/>
      <c r="O71" s="40"/>
      <c r="P71" s="40"/>
      <c r="Q71" s="40"/>
      <c r="R71" s="144"/>
      <c r="S71" s="40"/>
      <c r="T71" s="41"/>
    </row>
    <row r="72" spans="2:26">
      <c r="B72" s="36"/>
      <c r="C72" s="20"/>
      <c r="D72" s="21"/>
      <c r="E72" s="221"/>
      <c r="F72" s="131"/>
      <c r="G72" s="35"/>
      <c r="H72" s="20"/>
      <c r="I72" s="46"/>
      <c r="J72" s="136"/>
      <c r="K72" s="20"/>
      <c r="L72" s="23"/>
      <c r="M72" s="134"/>
      <c r="N72" s="24"/>
      <c r="O72" s="24"/>
      <c r="P72" s="24"/>
      <c r="Q72" s="24"/>
      <c r="R72" s="145"/>
      <c r="S72" s="24"/>
      <c r="T72" s="25"/>
      <c r="U72" s="38"/>
      <c r="V72" s="38"/>
      <c r="W72" s="38"/>
      <c r="X72" s="38"/>
      <c r="Y72" s="38"/>
      <c r="Z72" s="38"/>
    </row>
    <row r="73" spans="2:26">
      <c r="B73" s="36"/>
      <c r="C73" s="20"/>
      <c r="D73" s="21"/>
      <c r="E73" s="221"/>
      <c r="F73" s="131"/>
      <c r="G73" s="35"/>
      <c r="H73" s="20"/>
      <c r="I73" s="46"/>
      <c r="J73" s="136"/>
      <c r="K73" s="20"/>
      <c r="L73" s="23"/>
      <c r="M73" s="134"/>
      <c r="N73" s="24"/>
      <c r="O73" s="24"/>
      <c r="P73" s="24"/>
      <c r="Q73" s="24"/>
      <c r="R73" s="145"/>
      <c r="S73" s="24"/>
      <c r="T73" s="25"/>
      <c r="U73" s="38"/>
      <c r="V73" s="38"/>
      <c r="W73" s="38"/>
      <c r="X73" s="38"/>
      <c r="Y73" s="38"/>
      <c r="Z73" s="38"/>
    </row>
    <row r="74" spans="2:26">
      <c r="B74" s="36"/>
      <c r="C74" s="20"/>
      <c r="D74" s="21"/>
      <c r="E74" s="221"/>
      <c r="F74" s="131"/>
      <c r="G74" s="35"/>
      <c r="H74" s="20"/>
      <c r="I74" s="46"/>
      <c r="J74" s="136"/>
      <c r="K74" s="46">
        <f>SUM(K60:K73)</f>
        <v>0</v>
      </c>
      <c r="L74" s="23"/>
      <c r="M74" s="134"/>
      <c r="N74" s="24"/>
      <c r="O74" s="24"/>
      <c r="P74" s="24"/>
      <c r="Q74" s="24"/>
      <c r="R74" s="145"/>
      <c r="S74" s="24"/>
      <c r="T74" s="25"/>
      <c r="U74" s="38"/>
      <c r="V74" s="38"/>
      <c r="W74" s="38"/>
      <c r="X74" s="38"/>
      <c r="Y74" s="38"/>
      <c r="Z74" s="38"/>
    </row>
    <row r="75" spans="2:26">
      <c r="B75" s="19"/>
      <c r="C75" s="20"/>
      <c r="D75" s="21"/>
      <c r="E75" s="221"/>
      <c r="F75" s="131"/>
      <c r="G75" s="22"/>
      <c r="H75" s="20"/>
      <c r="I75" s="46"/>
      <c r="J75" s="136"/>
      <c r="K75" s="20"/>
      <c r="L75" s="23"/>
      <c r="M75" s="134"/>
      <c r="N75" s="24"/>
      <c r="O75" s="24"/>
      <c r="P75" s="24"/>
      <c r="Q75" s="24"/>
      <c r="R75" s="145"/>
      <c r="S75" s="24"/>
      <c r="T75" s="26"/>
      <c r="U75" s="47"/>
      <c r="V75" s="47"/>
      <c r="W75" s="47"/>
      <c r="X75" s="47"/>
      <c r="Y75" s="47"/>
      <c r="Z75" s="47"/>
    </row>
    <row r="76" spans="2:26">
      <c r="B76" s="19"/>
      <c r="C76" s="20"/>
      <c r="D76" s="21"/>
      <c r="E76" s="221"/>
      <c r="F76" s="131"/>
      <c r="G76" s="22"/>
      <c r="H76" s="20"/>
      <c r="I76" s="46"/>
      <c r="J76" s="136"/>
      <c r="K76" s="20"/>
      <c r="L76" s="23"/>
      <c r="M76" s="134"/>
      <c r="N76" s="24"/>
      <c r="O76" s="24"/>
      <c r="P76" s="24"/>
      <c r="Q76" s="24"/>
      <c r="R76" s="145"/>
      <c r="S76" s="24"/>
      <c r="T76" s="26"/>
      <c r="U76" s="47"/>
      <c r="V76" s="47"/>
      <c r="W76" s="47"/>
      <c r="X76" s="47"/>
      <c r="Y76" s="47"/>
      <c r="Z76" s="47"/>
    </row>
    <row r="77" spans="2:26">
      <c r="B77" s="19"/>
      <c r="C77" s="20"/>
      <c r="D77" s="21"/>
      <c r="E77" s="221"/>
      <c r="F77" s="131"/>
      <c r="G77" s="22"/>
      <c r="H77" s="20"/>
      <c r="I77" s="46"/>
      <c r="J77" s="136"/>
      <c r="K77" s="20"/>
      <c r="L77" s="23"/>
      <c r="M77" s="134"/>
      <c r="N77" s="24"/>
      <c r="O77" s="24"/>
      <c r="P77" s="24"/>
      <c r="Q77" s="24"/>
      <c r="R77" s="145"/>
      <c r="S77" s="24"/>
      <c r="T77" s="26"/>
      <c r="U77" s="47"/>
      <c r="V77" s="47"/>
      <c r="W77" s="47"/>
      <c r="X77" s="47"/>
      <c r="Y77" s="47"/>
      <c r="Z77" s="47"/>
    </row>
    <row r="78" spans="2:26">
      <c r="B78" s="19"/>
      <c r="C78" s="20"/>
      <c r="D78" s="21"/>
      <c r="E78" s="221"/>
      <c r="F78" s="131"/>
      <c r="G78" s="22"/>
      <c r="H78" s="20"/>
      <c r="I78" s="46"/>
      <c r="J78" s="136"/>
      <c r="K78" s="20"/>
      <c r="L78" s="23"/>
      <c r="M78" s="134"/>
      <c r="N78" s="24"/>
      <c r="O78" s="24"/>
      <c r="P78" s="24"/>
      <c r="Q78" s="24"/>
      <c r="R78" s="145"/>
      <c r="S78" s="24"/>
      <c r="T78" s="26"/>
      <c r="U78" s="47"/>
      <c r="V78" s="47"/>
      <c r="W78" s="47"/>
      <c r="X78" s="47"/>
      <c r="Y78" s="47"/>
      <c r="Z78" s="47"/>
    </row>
    <row r="79" spans="2:26">
      <c r="B79" s="19"/>
      <c r="C79" s="20"/>
      <c r="D79" s="21"/>
      <c r="E79" s="221"/>
      <c r="F79" s="131"/>
      <c r="G79" s="22"/>
      <c r="H79" s="20"/>
      <c r="I79" s="46"/>
      <c r="J79" s="136"/>
      <c r="K79" s="20"/>
      <c r="L79" s="23"/>
      <c r="M79" s="134"/>
      <c r="N79" s="24"/>
      <c r="O79" s="24"/>
      <c r="P79" s="24"/>
      <c r="Q79" s="24"/>
      <c r="R79" s="145"/>
      <c r="S79" s="24"/>
      <c r="T79" s="26"/>
      <c r="U79" s="47"/>
      <c r="V79" s="47"/>
      <c r="W79" s="47"/>
      <c r="X79" s="47"/>
      <c r="Y79" s="47"/>
      <c r="Z79" s="47"/>
    </row>
    <row r="80" spans="2:26">
      <c r="B80" s="19"/>
      <c r="C80" s="20"/>
      <c r="D80" s="21"/>
      <c r="E80" s="221"/>
      <c r="F80" s="131"/>
      <c r="G80" s="22"/>
      <c r="H80" s="20"/>
      <c r="I80" s="46"/>
      <c r="J80" s="136"/>
      <c r="K80" s="20"/>
      <c r="L80" s="23"/>
      <c r="M80" s="134"/>
      <c r="N80" s="24"/>
      <c r="O80" s="24"/>
      <c r="P80" s="24"/>
      <c r="Q80" s="24"/>
      <c r="R80" s="145"/>
      <c r="S80" s="24"/>
      <c r="T80" s="25"/>
      <c r="U80" s="38"/>
      <c r="V80" s="38"/>
      <c r="W80" s="38"/>
      <c r="X80" s="38"/>
      <c r="Y80" s="38"/>
      <c r="Z80" s="38"/>
    </row>
    <row r="81" spans="2:26">
      <c r="B81" s="19"/>
      <c r="C81" s="20"/>
      <c r="D81" s="21"/>
      <c r="E81" s="221"/>
      <c r="F81" s="131"/>
      <c r="G81" s="22"/>
      <c r="H81" s="20"/>
      <c r="I81" s="46"/>
      <c r="J81" s="136"/>
      <c r="K81" s="20"/>
      <c r="L81" s="23"/>
      <c r="M81" s="134"/>
      <c r="N81" s="24"/>
      <c r="O81" s="24"/>
      <c r="P81" s="24"/>
      <c r="Q81" s="24"/>
      <c r="R81" s="145"/>
      <c r="S81" s="24"/>
      <c r="T81" s="25"/>
      <c r="U81" s="38"/>
      <c r="V81" s="38"/>
      <c r="W81" s="38"/>
      <c r="X81" s="38"/>
      <c r="Y81" s="38"/>
      <c r="Z81" s="38"/>
    </row>
    <row r="82" spans="2:26">
      <c r="B82" s="19"/>
      <c r="C82" s="20"/>
      <c r="D82" s="21"/>
      <c r="E82" s="221"/>
      <c r="F82" s="131"/>
      <c r="G82" s="22"/>
      <c r="H82" s="20"/>
      <c r="I82" s="46"/>
      <c r="J82" s="136"/>
      <c r="K82" s="20"/>
      <c r="L82" s="23"/>
      <c r="M82" s="134"/>
      <c r="N82" s="24"/>
      <c r="O82" s="24"/>
      <c r="P82" s="24"/>
      <c r="Q82" s="24"/>
      <c r="R82" s="145"/>
      <c r="S82" s="24"/>
      <c r="T82" s="25"/>
      <c r="U82" s="38"/>
      <c r="V82" s="38"/>
      <c r="W82" s="38"/>
      <c r="X82" s="38"/>
      <c r="Y82" s="38"/>
      <c r="Z82" s="38"/>
    </row>
    <row r="83" spans="2:26">
      <c r="B83" s="19"/>
      <c r="C83" s="20"/>
      <c r="D83" s="21"/>
      <c r="E83" s="221"/>
      <c r="F83" s="131"/>
      <c r="G83" s="22"/>
      <c r="H83" s="20"/>
      <c r="I83" s="46"/>
      <c r="J83" s="136"/>
      <c r="K83" s="20"/>
      <c r="L83" s="23"/>
      <c r="M83" s="134"/>
      <c r="N83" s="24"/>
      <c r="O83" s="24"/>
      <c r="P83" s="24"/>
      <c r="Q83" s="24"/>
      <c r="R83" s="145"/>
      <c r="S83" s="24"/>
      <c r="T83" s="25"/>
      <c r="U83" s="38"/>
      <c r="V83" s="38"/>
      <c r="W83" s="38"/>
      <c r="X83" s="38"/>
      <c r="Y83" s="38"/>
      <c r="Z83" s="38"/>
    </row>
    <row r="84" spans="2:26">
      <c r="B84" s="19"/>
      <c r="C84" s="20"/>
      <c r="D84" s="21"/>
      <c r="E84" s="221"/>
      <c r="F84" s="131"/>
      <c r="G84" s="22"/>
      <c r="H84" s="20"/>
      <c r="I84" s="46"/>
      <c r="J84" s="136"/>
      <c r="K84" s="20"/>
      <c r="L84" s="23"/>
      <c r="M84" s="134"/>
      <c r="N84" s="24"/>
      <c r="O84" s="24"/>
      <c r="P84" s="24"/>
      <c r="Q84" s="24"/>
      <c r="R84" s="145"/>
      <c r="S84" s="24"/>
      <c r="T84" s="25"/>
      <c r="U84" s="38"/>
      <c r="V84" s="38"/>
      <c r="W84" s="38"/>
      <c r="X84" s="38"/>
      <c r="Y84" s="38"/>
      <c r="Z84" s="38"/>
    </row>
    <row r="85" spans="2:26">
      <c r="B85" s="19"/>
      <c r="C85" s="20"/>
      <c r="D85" s="21"/>
      <c r="E85" s="221"/>
      <c r="F85" s="131"/>
      <c r="G85" s="22"/>
      <c r="H85" s="20"/>
      <c r="I85" s="46"/>
      <c r="J85" s="136"/>
      <c r="K85" s="20"/>
      <c r="L85" s="23"/>
      <c r="M85" s="134"/>
      <c r="N85" s="24"/>
      <c r="O85" s="24"/>
      <c r="P85" s="24"/>
      <c r="Q85" s="24"/>
      <c r="R85" s="145"/>
      <c r="S85" s="24"/>
      <c r="T85" s="25"/>
      <c r="U85" s="38"/>
      <c r="V85" s="38"/>
      <c r="W85" s="38"/>
      <c r="X85" s="38"/>
      <c r="Y85" s="38"/>
      <c r="Z85" s="38"/>
    </row>
    <row r="86" spans="2:26">
      <c r="B86" s="19"/>
      <c r="C86" s="20"/>
      <c r="D86" s="21"/>
      <c r="E86" s="221"/>
      <c r="F86" s="131"/>
      <c r="G86" s="22"/>
      <c r="H86" s="20"/>
      <c r="I86" s="46"/>
      <c r="J86" s="136"/>
      <c r="K86" s="20"/>
      <c r="L86" s="23"/>
      <c r="M86" s="134"/>
      <c r="N86" s="24"/>
      <c r="O86" s="24"/>
      <c r="P86" s="24"/>
      <c r="Q86" s="24"/>
      <c r="R86" s="145"/>
      <c r="S86" s="24"/>
      <c r="T86" s="25"/>
      <c r="U86" s="38"/>
      <c r="V86" s="38"/>
      <c r="W86" s="38"/>
      <c r="X86" s="38"/>
      <c r="Y86" s="38"/>
      <c r="Z86" s="38"/>
    </row>
    <row r="87" spans="2:26">
      <c r="B87" s="19"/>
      <c r="C87" s="20"/>
      <c r="D87" s="21"/>
      <c r="E87" s="221"/>
      <c r="F87" s="131"/>
      <c r="G87" s="22"/>
      <c r="H87" s="20"/>
      <c r="I87" s="46"/>
      <c r="J87" s="136"/>
      <c r="K87" s="20"/>
      <c r="L87" s="23"/>
      <c r="M87" s="134"/>
      <c r="N87" s="24"/>
      <c r="O87" s="24"/>
      <c r="P87" s="24"/>
      <c r="Q87" s="24"/>
      <c r="R87" s="145"/>
      <c r="S87" s="24"/>
      <c r="T87" s="25"/>
      <c r="U87" s="38"/>
      <c r="V87" s="38"/>
      <c r="W87" s="38"/>
      <c r="X87" s="38"/>
      <c r="Y87" s="38"/>
      <c r="Z87" s="38"/>
    </row>
    <row r="88" spans="2:26">
      <c r="B88" s="19"/>
      <c r="C88" s="20"/>
      <c r="D88" s="21"/>
      <c r="E88" s="221"/>
      <c r="F88" s="131"/>
      <c r="G88" s="22"/>
      <c r="H88" s="20"/>
      <c r="I88" s="46"/>
      <c r="J88" s="136"/>
      <c r="K88" s="20"/>
      <c r="L88" s="23"/>
      <c r="M88" s="134"/>
      <c r="N88" s="24"/>
      <c r="O88" s="24"/>
      <c r="P88" s="24"/>
      <c r="Q88" s="24"/>
      <c r="R88" s="145"/>
      <c r="S88" s="24"/>
      <c r="T88" s="25"/>
      <c r="U88" s="38"/>
      <c r="V88" s="38"/>
      <c r="W88" s="38"/>
      <c r="X88" s="38"/>
      <c r="Y88" s="38"/>
      <c r="Z88" s="38"/>
    </row>
    <row r="89" spans="2:26">
      <c r="B89" s="19"/>
      <c r="C89" s="20"/>
      <c r="D89" s="21"/>
      <c r="E89" s="221"/>
      <c r="F89" s="131"/>
      <c r="G89" s="22"/>
      <c r="H89" s="20"/>
      <c r="I89" s="46"/>
      <c r="J89" s="136"/>
      <c r="K89" s="20"/>
      <c r="L89" s="23"/>
      <c r="M89" s="134"/>
      <c r="N89" s="24"/>
      <c r="O89" s="24"/>
      <c r="P89" s="24"/>
      <c r="Q89" s="24"/>
      <c r="R89" s="145"/>
      <c r="S89" s="24"/>
      <c r="T89" s="25"/>
      <c r="U89" s="38"/>
      <c r="V89" s="38"/>
      <c r="W89" s="38"/>
      <c r="X89" s="38"/>
      <c r="Y89" s="38"/>
      <c r="Z89" s="38"/>
    </row>
    <row r="90" spans="2:26">
      <c r="B90" s="19"/>
      <c r="C90" s="20"/>
      <c r="D90" s="21"/>
      <c r="E90" s="221"/>
      <c r="F90" s="131"/>
      <c r="G90" s="22"/>
      <c r="H90" s="20"/>
      <c r="I90" s="46"/>
      <c r="J90" s="136"/>
      <c r="K90" s="20"/>
      <c r="L90" s="23"/>
      <c r="M90" s="134"/>
      <c r="N90" s="24"/>
      <c r="O90" s="24"/>
      <c r="P90" s="24"/>
      <c r="Q90" s="24"/>
      <c r="R90" s="145"/>
      <c r="S90" s="24"/>
      <c r="T90" s="25"/>
      <c r="U90" s="38"/>
      <c r="V90" s="38"/>
      <c r="W90" s="38"/>
      <c r="X90" s="38"/>
      <c r="Y90" s="38"/>
      <c r="Z90" s="38"/>
    </row>
    <row r="91" spans="2:26">
      <c r="B91" s="19"/>
      <c r="C91" s="20"/>
      <c r="D91" s="21"/>
      <c r="E91" s="221"/>
      <c r="F91" s="131"/>
      <c r="G91" s="22"/>
      <c r="H91" s="20"/>
      <c r="I91" s="46"/>
      <c r="J91" s="136"/>
      <c r="K91" s="20"/>
      <c r="L91" s="23"/>
      <c r="M91" s="134"/>
      <c r="N91" s="24"/>
      <c r="O91" s="24"/>
      <c r="P91" s="24"/>
      <c r="Q91" s="24"/>
      <c r="R91" s="145"/>
      <c r="S91" s="24"/>
      <c r="T91" s="25"/>
      <c r="U91" s="38"/>
      <c r="V91" s="38"/>
      <c r="W91" s="38"/>
      <c r="X91" s="38"/>
      <c r="Y91" s="38"/>
      <c r="Z91" s="38"/>
    </row>
    <row r="92" spans="2:26">
      <c r="B92" s="19"/>
      <c r="C92" s="20"/>
      <c r="D92" s="21"/>
      <c r="E92" s="221"/>
      <c r="F92" s="131"/>
      <c r="G92" s="22"/>
      <c r="H92" s="20"/>
      <c r="I92" s="46"/>
      <c r="J92" s="136"/>
      <c r="K92" s="20"/>
      <c r="L92" s="23"/>
      <c r="M92" s="134"/>
      <c r="N92" s="24"/>
      <c r="O92" s="24"/>
      <c r="P92" s="24"/>
      <c r="Q92" s="24"/>
      <c r="R92" s="145"/>
      <c r="S92" s="24"/>
      <c r="T92" s="25"/>
      <c r="U92" s="38"/>
      <c r="V92" s="38"/>
      <c r="W92" s="38"/>
      <c r="X92" s="38"/>
      <c r="Y92" s="38"/>
      <c r="Z92" s="38"/>
    </row>
    <row r="93" spans="2:26">
      <c r="B93" s="19"/>
      <c r="C93" s="20"/>
      <c r="D93" s="21"/>
      <c r="E93" s="221"/>
      <c r="F93" s="131"/>
      <c r="G93" s="22"/>
      <c r="H93" s="20"/>
      <c r="I93" s="46"/>
      <c r="J93" s="136"/>
      <c r="K93" s="20"/>
      <c r="L93" s="23"/>
      <c r="M93" s="134"/>
      <c r="N93" s="24"/>
      <c r="O93" s="24"/>
      <c r="P93" s="24"/>
      <c r="Q93" s="24"/>
      <c r="R93" s="145"/>
      <c r="S93" s="24"/>
      <c r="T93" s="25"/>
      <c r="U93" s="38"/>
      <c r="V93" s="38"/>
      <c r="W93" s="38"/>
      <c r="X93" s="38"/>
      <c r="Y93" s="38"/>
      <c r="Z93" s="38"/>
    </row>
    <row r="96" spans="2:26">
      <c r="C96" s="9" t="s">
        <v>48</v>
      </c>
    </row>
    <row r="99" spans="2:2">
      <c r="B99" s="6">
        <f>COUNTIF(B2:B93,"SI")</f>
        <v>47</v>
      </c>
    </row>
  </sheetData>
  <conditionalFormatting sqref="B60:B61 B63:B93 B1:B58">
    <cfRule type="cellIs" dxfId="335" priority="41" stopIfTrue="1" operator="equal">
      <formula>"SI"</formula>
    </cfRule>
    <cfRule type="cellIs" dxfId="334" priority="42" stopIfTrue="1" operator="equal">
      <formula>"NO"</formula>
    </cfRule>
  </conditionalFormatting>
  <conditionalFormatting sqref="Y3:Z3">
    <cfRule type="cellIs" dxfId="333" priority="39" operator="equal">
      <formula>0</formula>
    </cfRule>
  </conditionalFormatting>
  <hyperlinks>
    <hyperlink ref="T3" r:id="rId1"/>
    <hyperlink ref="T16" r:id="rId2"/>
    <hyperlink ref="T52" r:id="rId3"/>
    <hyperlink ref="T53" r:id="rId4"/>
  </hyperlinks>
  <pageMargins left="0.7" right="0.7" top="0.75" bottom="0.75" header="0.3" footer="0.3"/>
  <pageSetup paperSize="9" orientation="portrait" r:id="rId5"/>
  <drawing r:id="rId6"/>
  <legacyDrawing r:id="rId7"/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CC74"/>
  <sheetViews>
    <sheetView tabSelected="1" workbookViewId="0">
      <selection activeCell="M8" sqref="M8"/>
    </sheetView>
  </sheetViews>
  <sheetFormatPr baseColWidth="10" defaultRowHeight="12.75"/>
  <cols>
    <col min="1" max="1" width="7.5703125" style="6" customWidth="1"/>
    <col min="2" max="2" width="9.140625" style="9" customWidth="1"/>
    <col min="3" max="3" width="11.28515625" style="9" bestFit="1" customWidth="1"/>
    <col min="4" max="4" width="41.140625" style="13" bestFit="1" customWidth="1"/>
    <col min="5" max="5" width="24.5703125" style="9" bestFit="1" customWidth="1"/>
    <col min="6" max="6" width="29.85546875" style="13" customWidth="1"/>
    <col min="7" max="7" width="8.85546875" style="9" customWidth="1"/>
    <col min="8" max="8" width="10.28515625" style="12" customWidth="1"/>
    <col min="9" max="9" width="3.28515625" style="12" customWidth="1"/>
    <col min="10" max="10" width="10.28515625" style="7" customWidth="1"/>
    <col min="11" max="11" width="9" style="7" customWidth="1"/>
    <col min="12" max="12" width="10.7109375" style="8" customWidth="1"/>
    <col min="13" max="13" width="9.5703125" style="7" customWidth="1"/>
    <col min="14" max="14" width="11.140625" style="18" customWidth="1"/>
    <col min="15" max="15" width="16" style="18" customWidth="1"/>
    <col min="16" max="16" width="10.28515625" style="18" customWidth="1"/>
    <col min="17" max="17" width="4.28515625" style="12" customWidth="1"/>
    <col min="18" max="18" width="8" style="7" customWidth="1"/>
    <col min="19" max="19" width="7.85546875" style="7" customWidth="1"/>
    <col min="20" max="20" width="14.85546875" style="8" customWidth="1"/>
    <col min="21" max="21" width="10.7109375" style="7" customWidth="1"/>
    <col min="22" max="22" width="9.140625" style="18" customWidth="1"/>
    <col min="23" max="23" width="18.42578125" style="18" customWidth="1"/>
    <col min="24" max="24" width="11.28515625" style="18" customWidth="1"/>
    <col min="25" max="25" width="4.28515625" style="12" customWidth="1"/>
    <col min="26" max="27" width="11.42578125" customWidth="1"/>
    <col min="28" max="28" width="12.7109375" customWidth="1"/>
    <col min="29" max="30" width="11.42578125" customWidth="1"/>
    <col min="31" max="31" width="12.140625" customWidth="1"/>
    <col min="32" max="32" width="11.28515625" customWidth="1"/>
    <col min="33" max="33" width="4" customWidth="1"/>
    <col min="34" max="34" width="9.140625" style="7" customWidth="1"/>
    <col min="35" max="35" width="9" style="7" customWidth="1"/>
    <col min="36" max="36" width="10.7109375" style="8" customWidth="1"/>
    <col min="37" max="37" width="11.7109375" style="7" customWidth="1"/>
    <col min="38" max="38" width="10.28515625" style="18" customWidth="1"/>
    <col min="39" max="39" width="16.85546875" style="18" customWidth="1"/>
    <col min="40" max="40" width="9.140625" style="18" customWidth="1"/>
    <col min="41" max="41" width="5.28515625" style="18" customWidth="1"/>
    <col min="42" max="42" width="8" style="7" customWidth="1"/>
    <col min="43" max="43" width="9.140625" style="7" customWidth="1"/>
    <col min="44" max="44" width="10.7109375" style="8" customWidth="1"/>
    <col min="45" max="45" width="11.7109375" style="7" customWidth="1"/>
    <col min="46" max="46" width="10.28515625" style="18" customWidth="1"/>
    <col min="47" max="47" width="14.85546875" style="18" customWidth="1"/>
    <col min="48" max="48" width="10.7109375" style="18" bestFit="1" customWidth="1"/>
    <col min="49" max="49" width="5.28515625" style="18" customWidth="1"/>
    <col min="50" max="50" width="9.140625" style="7" customWidth="1"/>
    <col min="51" max="51" width="9" style="7" customWidth="1"/>
    <col min="52" max="52" width="12.42578125" style="8" customWidth="1"/>
    <col min="53" max="53" width="11.7109375" style="7" customWidth="1"/>
    <col min="54" max="54" width="10.28515625" style="18" customWidth="1"/>
    <col min="55" max="55" width="14.28515625" style="18" bestFit="1" customWidth="1"/>
    <col min="56" max="56" width="11.42578125" style="18" bestFit="1" customWidth="1"/>
    <col min="57" max="57" width="5.42578125" style="18" customWidth="1"/>
    <col min="58" max="58" width="9.140625" style="7" customWidth="1"/>
    <col min="59" max="59" width="9" style="7" customWidth="1"/>
    <col min="60" max="60" width="12.28515625" style="8" customWidth="1"/>
    <col min="61" max="61" width="11.7109375" style="7" customWidth="1"/>
    <col min="62" max="62" width="10.28515625" style="18" customWidth="1"/>
    <col min="63" max="64" width="9.140625" style="18" customWidth="1"/>
    <col min="65" max="65" width="5.28515625" style="18" customWidth="1"/>
    <col min="66" max="66" width="8" style="7" customWidth="1"/>
    <col min="67" max="67" width="7.85546875" style="7" customWidth="1"/>
    <col min="68" max="68" width="15.140625" style="8" bestFit="1" customWidth="1"/>
    <col min="69" max="69" width="16.28515625" style="7" bestFit="1" customWidth="1"/>
    <col min="70" max="70" width="10.28515625" style="18" customWidth="1"/>
    <col min="71" max="71" width="14.7109375" style="18" bestFit="1" customWidth="1"/>
    <col min="72" max="72" width="11.28515625" style="18" bestFit="1" customWidth="1"/>
    <col min="73" max="73" width="5.28515625" style="18" customWidth="1"/>
    <col min="74" max="74" width="9.140625" style="7" customWidth="1"/>
    <col min="75" max="75" width="9" style="7" customWidth="1"/>
    <col min="76" max="76" width="13.5703125" style="8" customWidth="1"/>
    <col min="77" max="77" width="14" style="7" customWidth="1"/>
    <col min="78" max="78" width="10.28515625" style="18" customWidth="1"/>
    <col min="79" max="79" width="15.140625" style="18" bestFit="1" customWidth="1"/>
    <col min="80" max="80" width="11.28515625" style="18" bestFit="1" customWidth="1"/>
    <col min="81" max="81" width="5.42578125" style="18" customWidth="1"/>
  </cols>
  <sheetData>
    <row r="1" spans="1:81">
      <c r="A1" s="152" t="s">
        <v>35</v>
      </c>
      <c r="B1" s="153" t="s">
        <v>0</v>
      </c>
      <c r="C1" s="153" t="s">
        <v>34</v>
      </c>
      <c r="D1" s="153" t="s">
        <v>723</v>
      </c>
      <c r="E1" s="153" t="s">
        <v>257</v>
      </c>
      <c r="F1" s="153" t="s">
        <v>258</v>
      </c>
      <c r="G1" s="153" t="s">
        <v>44</v>
      </c>
      <c r="H1" s="153" t="s">
        <v>45</v>
      </c>
      <c r="I1" s="154"/>
      <c r="J1" s="383" t="s">
        <v>673</v>
      </c>
      <c r="K1" s="383"/>
      <c r="L1" s="383"/>
      <c r="M1" s="383"/>
      <c r="N1" s="383"/>
      <c r="O1" s="383"/>
      <c r="P1" s="226"/>
      <c r="Q1" s="154"/>
      <c r="R1" s="384" t="s">
        <v>51</v>
      </c>
      <c r="S1" s="384"/>
      <c r="T1" s="384"/>
      <c r="U1" s="384"/>
      <c r="V1" s="384"/>
      <c r="W1" s="384"/>
      <c r="X1" s="227"/>
      <c r="Y1" s="154"/>
      <c r="Z1" s="385" t="s">
        <v>52</v>
      </c>
      <c r="AA1" s="385"/>
      <c r="AB1" s="385"/>
      <c r="AC1" s="385"/>
      <c r="AD1" s="385"/>
      <c r="AE1" s="385"/>
      <c r="AF1" s="228"/>
      <c r="AG1" s="169"/>
      <c r="AH1" s="382" t="s">
        <v>53</v>
      </c>
      <c r="AI1" s="382"/>
      <c r="AJ1" s="382"/>
      <c r="AK1" s="382"/>
      <c r="AL1" s="382"/>
      <c r="AM1" s="382"/>
      <c r="AN1" s="225"/>
      <c r="AO1" s="173"/>
      <c r="AP1" s="383" t="s">
        <v>649</v>
      </c>
      <c r="AQ1" s="383"/>
      <c r="AR1" s="383"/>
      <c r="AS1" s="383"/>
      <c r="AT1" s="383"/>
      <c r="AU1" s="383"/>
      <c r="AV1" s="226"/>
      <c r="AW1" s="174"/>
      <c r="AX1" s="384" t="s">
        <v>738</v>
      </c>
      <c r="AY1" s="384"/>
      <c r="AZ1" s="384"/>
      <c r="BA1" s="384"/>
      <c r="BB1" s="384"/>
      <c r="BC1" s="384"/>
      <c r="BD1" s="229"/>
      <c r="BE1" s="175"/>
      <c r="BF1" s="382" t="s">
        <v>664</v>
      </c>
      <c r="BG1" s="382"/>
      <c r="BH1" s="382"/>
      <c r="BI1" s="382"/>
      <c r="BJ1" s="382"/>
      <c r="BK1" s="382"/>
      <c r="BL1" s="225"/>
      <c r="BM1" s="173"/>
      <c r="BN1" s="383" t="s">
        <v>665</v>
      </c>
      <c r="BO1" s="383"/>
      <c r="BP1" s="383"/>
      <c r="BQ1" s="383"/>
      <c r="BR1" s="383"/>
      <c r="BS1" s="383"/>
      <c r="BT1" s="226"/>
      <c r="BU1" s="174"/>
      <c r="BV1" s="384" t="s">
        <v>666</v>
      </c>
      <c r="BW1" s="384"/>
      <c r="BX1" s="384"/>
      <c r="BY1" s="384"/>
      <c r="BZ1" s="384"/>
      <c r="CA1" s="384"/>
      <c r="CB1" s="229"/>
      <c r="CC1" s="175"/>
    </row>
    <row r="2" spans="1:81" ht="13.5" thickBot="1">
      <c r="A2" s="125" t="s">
        <v>35</v>
      </c>
      <c r="B2" s="155" t="s">
        <v>0</v>
      </c>
      <c r="C2" s="155" t="s">
        <v>1</v>
      </c>
      <c r="D2" s="155" t="str">
        <f t="shared" ref="D2:D33" si="0">CONCATENATE(E:E," ",F:F)</f>
        <v>APELLIDOS NOMBRES</v>
      </c>
      <c r="E2" s="155" t="s">
        <v>260</v>
      </c>
      <c r="F2" s="155" t="s">
        <v>259</v>
      </c>
      <c r="G2" s="155" t="s">
        <v>6</v>
      </c>
      <c r="H2" s="156" t="s">
        <v>7</v>
      </c>
      <c r="I2" s="157"/>
      <c r="J2" s="158" t="s">
        <v>13</v>
      </c>
      <c r="K2" s="158" t="s">
        <v>14</v>
      </c>
      <c r="L2" s="159" t="s">
        <v>63</v>
      </c>
      <c r="M2" s="158" t="s">
        <v>64</v>
      </c>
      <c r="N2" s="158" t="s">
        <v>17</v>
      </c>
      <c r="O2" s="158" t="s">
        <v>65</v>
      </c>
      <c r="P2" s="158" t="s">
        <v>61</v>
      </c>
      <c r="Q2" s="157" t="s">
        <v>256</v>
      </c>
      <c r="R2" s="158" t="s">
        <v>614</v>
      </c>
      <c r="S2" s="158" t="s">
        <v>615</v>
      </c>
      <c r="T2" s="159" t="s">
        <v>616</v>
      </c>
      <c r="U2" s="158" t="s">
        <v>617</v>
      </c>
      <c r="V2" s="158" t="s">
        <v>618</v>
      </c>
      <c r="W2" s="158" t="s">
        <v>619</v>
      </c>
      <c r="X2" s="158" t="s">
        <v>724</v>
      </c>
      <c r="Y2" s="157" t="s">
        <v>644</v>
      </c>
      <c r="Z2" s="158" t="s">
        <v>626</v>
      </c>
      <c r="AA2" s="158" t="s">
        <v>627</v>
      </c>
      <c r="AB2" s="159" t="s">
        <v>628</v>
      </c>
      <c r="AC2" s="158" t="s">
        <v>629</v>
      </c>
      <c r="AD2" s="158" t="s">
        <v>630</v>
      </c>
      <c r="AE2" s="158" t="s">
        <v>631</v>
      </c>
      <c r="AF2" s="158" t="s">
        <v>725</v>
      </c>
      <c r="AG2" s="170" t="s">
        <v>645</v>
      </c>
      <c r="AH2" s="158" t="s">
        <v>620</v>
      </c>
      <c r="AI2" s="158" t="s">
        <v>621</v>
      </c>
      <c r="AJ2" s="159" t="s">
        <v>622</v>
      </c>
      <c r="AK2" s="158" t="s">
        <v>623</v>
      </c>
      <c r="AL2" s="158" t="s">
        <v>624</v>
      </c>
      <c r="AM2" s="158" t="s">
        <v>625</v>
      </c>
      <c r="AN2" s="158" t="s">
        <v>726</v>
      </c>
      <c r="AO2" s="170" t="s">
        <v>648</v>
      </c>
      <c r="AP2" s="158" t="s">
        <v>632</v>
      </c>
      <c r="AQ2" s="158" t="s">
        <v>633</v>
      </c>
      <c r="AR2" s="159" t="s">
        <v>634</v>
      </c>
      <c r="AS2" s="176" t="s">
        <v>635</v>
      </c>
      <c r="AT2" s="158" t="s">
        <v>636</v>
      </c>
      <c r="AU2" s="158" t="s">
        <v>637</v>
      </c>
      <c r="AV2" s="158" t="s">
        <v>727</v>
      </c>
      <c r="AW2" s="203" t="s">
        <v>650</v>
      </c>
      <c r="AX2" s="158" t="s">
        <v>638</v>
      </c>
      <c r="AY2" s="158" t="s">
        <v>639</v>
      </c>
      <c r="AZ2" s="159" t="s">
        <v>640</v>
      </c>
      <c r="BA2" s="158" t="s">
        <v>641</v>
      </c>
      <c r="BB2" s="158" t="s">
        <v>642</v>
      </c>
      <c r="BC2" s="158" t="s">
        <v>643</v>
      </c>
      <c r="BD2" s="230" t="s">
        <v>728</v>
      </c>
      <c r="BE2" s="149" t="s">
        <v>646</v>
      </c>
      <c r="BF2" s="158" t="s">
        <v>651</v>
      </c>
      <c r="BG2" s="158" t="s">
        <v>652</v>
      </c>
      <c r="BH2" s="159" t="s">
        <v>653</v>
      </c>
      <c r="BI2" s="158" t="s">
        <v>654</v>
      </c>
      <c r="BJ2" s="158" t="s">
        <v>655</v>
      </c>
      <c r="BK2" s="158" t="s">
        <v>656</v>
      </c>
      <c r="BL2" s="158" t="s">
        <v>729</v>
      </c>
      <c r="BM2" s="170" t="s">
        <v>657</v>
      </c>
      <c r="BN2" s="158" t="s">
        <v>658</v>
      </c>
      <c r="BO2" s="158" t="s">
        <v>659</v>
      </c>
      <c r="BP2" s="297" t="s">
        <v>660</v>
      </c>
      <c r="BQ2" s="158" t="s">
        <v>661</v>
      </c>
      <c r="BR2" s="158" t="s">
        <v>662</v>
      </c>
      <c r="BS2" s="158" t="s">
        <v>663</v>
      </c>
      <c r="BT2" s="230" t="s">
        <v>730</v>
      </c>
      <c r="BU2" s="149" t="s">
        <v>647</v>
      </c>
      <c r="BV2" s="158" t="s">
        <v>667</v>
      </c>
      <c r="BW2" s="158" t="s">
        <v>668</v>
      </c>
      <c r="BX2" s="297" t="s">
        <v>669</v>
      </c>
      <c r="BY2" s="158" t="s">
        <v>670</v>
      </c>
      <c r="BZ2" s="158" t="s">
        <v>671</v>
      </c>
      <c r="CA2" s="158" t="s">
        <v>672</v>
      </c>
      <c r="CB2" s="230" t="s">
        <v>731</v>
      </c>
      <c r="CC2" s="149"/>
    </row>
    <row r="3" spans="1:81" ht="13.5" thickBot="1">
      <c r="A3" s="126" t="s">
        <v>49</v>
      </c>
      <c r="B3" s="155">
        <v>2023</v>
      </c>
      <c r="C3" s="156" t="s">
        <v>559</v>
      </c>
      <c r="D3" s="160"/>
      <c r="E3" s="160"/>
      <c r="F3" s="161"/>
      <c r="G3" s="155"/>
      <c r="H3" s="162"/>
      <c r="I3" s="163"/>
      <c r="J3" s="266"/>
      <c r="K3" s="266"/>
      <c r="L3" s="288"/>
      <c r="M3" s="266"/>
      <c r="N3" s="266"/>
      <c r="O3" s="291"/>
      <c r="P3" s="208"/>
      <c r="Q3" s="163"/>
      <c r="R3" s="269"/>
      <c r="S3" s="270"/>
      <c r="T3" s="190"/>
      <c r="U3" s="193"/>
      <c r="V3" s="269"/>
      <c r="W3" s="192"/>
      <c r="X3" s="208"/>
      <c r="Y3" s="163"/>
      <c r="Z3" s="269"/>
      <c r="AA3" s="270"/>
      <c r="AB3" s="190"/>
      <c r="AC3" s="193"/>
      <c r="AD3" s="269"/>
      <c r="AE3" s="265"/>
      <c r="AF3" s="208"/>
      <c r="AG3" s="171"/>
      <c r="AH3" s="164"/>
      <c r="AI3" s="164"/>
      <c r="AJ3" s="165"/>
      <c r="AK3" s="164"/>
      <c r="AL3" s="215"/>
      <c r="AM3" s="217"/>
      <c r="AN3" s="209"/>
      <c r="AO3" s="171"/>
      <c r="AP3" s="215"/>
      <c r="AQ3" s="215"/>
      <c r="AR3" s="216"/>
      <c r="AS3" s="210"/>
      <c r="AT3" s="215"/>
      <c r="AU3" s="217"/>
      <c r="AV3" s="208"/>
      <c r="AW3" s="171"/>
      <c r="AX3" s="213"/>
      <c r="AY3" s="213"/>
      <c r="AZ3" s="214"/>
      <c r="BA3" s="210"/>
      <c r="BB3" s="213"/>
      <c r="BC3" s="205"/>
      <c r="BD3" s="208"/>
      <c r="BE3" s="150"/>
      <c r="BF3" s="213"/>
      <c r="BG3" s="213"/>
      <c r="BH3" s="214"/>
      <c r="BI3" s="213"/>
      <c r="BJ3" s="213"/>
      <c r="BK3" s="218"/>
      <c r="BL3" s="166"/>
      <c r="BM3" s="171"/>
      <c r="BN3" s="278"/>
      <c r="BO3" s="277"/>
      <c r="BP3" s="274"/>
      <c r="BQ3" s="273"/>
      <c r="BR3" s="269"/>
      <c r="BS3" s="279"/>
      <c r="BT3" s="208"/>
      <c r="BU3" s="171"/>
      <c r="BV3" s="213"/>
      <c r="BW3" s="213"/>
      <c r="BX3" s="301"/>
      <c r="BY3" s="266"/>
      <c r="BZ3" s="213"/>
      <c r="CA3" s="302"/>
      <c r="CB3" s="208"/>
      <c r="CC3" s="150"/>
    </row>
    <row r="4" spans="1:81" ht="13.5" thickBot="1">
      <c r="A4" s="126" t="s">
        <v>49</v>
      </c>
      <c r="B4" s="155">
        <v>2023</v>
      </c>
      <c r="C4" s="156" t="s">
        <v>560</v>
      </c>
      <c r="D4" s="160"/>
      <c r="E4" s="160"/>
      <c r="F4" s="161"/>
      <c r="G4" s="155"/>
      <c r="H4" s="162"/>
      <c r="I4" s="163"/>
      <c r="J4" s="194"/>
      <c r="K4" s="194"/>
      <c r="L4" s="194"/>
      <c r="M4" s="194"/>
      <c r="N4" s="266"/>
      <c r="O4" s="292"/>
      <c r="P4" s="208"/>
      <c r="Q4" s="163"/>
      <c r="R4" s="269"/>
      <c r="S4" s="270"/>
      <c r="T4" s="190"/>
      <c r="U4" s="191"/>
      <c r="V4" s="269"/>
      <c r="W4" s="196"/>
      <c r="X4" s="208"/>
      <c r="Y4" s="163"/>
      <c r="Z4" s="194"/>
      <c r="AA4" s="194"/>
      <c r="AB4" s="190"/>
      <c r="AC4" s="193"/>
      <c r="AD4" s="269"/>
      <c r="AE4" s="266"/>
      <c r="AF4" s="208"/>
      <c r="AG4" s="171"/>
      <c r="AH4" s="164"/>
      <c r="AI4" s="164"/>
      <c r="AJ4" s="165"/>
      <c r="AK4" s="164"/>
      <c r="AL4" s="305"/>
      <c r="AM4" s="218"/>
      <c r="AN4" s="166"/>
      <c r="AO4" s="171"/>
      <c r="AP4" s="215"/>
      <c r="AQ4" s="215"/>
      <c r="AR4" s="216"/>
      <c r="AS4" s="211"/>
      <c r="AT4" s="215"/>
      <c r="AU4" s="218"/>
      <c r="AV4" s="208"/>
      <c r="AW4" s="171"/>
      <c r="AX4" s="213"/>
      <c r="AY4" s="213"/>
      <c r="AZ4" s="214"/>
      <c r="BA4" s="211"/>
      <c r="BB4" s="213"/>
      <c r="BC4" s="206"/>
      <c r="BD4" s="208"/>
      <c r="BE4" s="150"/>
      <c r="BF4" s="213"/>
      <c r="BG4" s="213"/>
      <c r="BH4" s="214"/>
      <c r="BI4" s="213"/>
      <c r="BJ4" s="213"/>
      <c r="BK4" s="218"/>
      <c r="BL4" s="166"/>
      <c r="BM4" s="171"/>
      <c r="BN4" s="278"/>
      <c r="BO4" s="277"/>
      <c r="BP4" s="275"/>
      <c r="BQ4" s="273"/>
      <c r="BR4" s="269"/>
      <c r="BS4" s="279"/>
      <c r="BT4" s="208"/>
      <c r="BU4" s="171"/>
      <c r="BV4" s="213"/>
      <c r="BW4" s="213"/>
      <c r="BX4" s="301"/>
      <c r="BY4" s="300"/>
      <c r="BZ4" s="213"/>
      <c r="CA4" s="303"/>
      <c r="CB4" s="208"/>
      <c r="CC4" s="150"/>
    </row>
    <row r="5" spans="1:81" ht="13.5" thickBot="1">
      <c r="A5" s="126" t="s">
        <v>49</v>
      </c>
      <c r="B5" s="155">
        <v>2023</v>
      </c>
      <c r="C5" s="156" t="s">
        <v>561</v>
      </c>
      <c r="D5" s="160"/>
      <c r="E5" s="160"/>
      <c r="F5" s="161"/>
      <c r="G5" s="155"/>
      <c r="H5" s="162"/>
      <c r="I5" s="163"/>
      <c r="J5" s="266"/>
      <c r="K5" s="266"/>
      <c r="L5" s="288"/>
      <c r="M5" s="194"/>
      <c r="N5" s="266"/>
      <c r="O5" s="292"/>
      <c r="P5" s="208"/>
      <c r="Q5" s="163"/>
      <c r="R5" s="269"/>
      <c r="S5" s="270"/>
      <c r="T5" s="190"/>
      <c r="U5" s="191"/>
      <c r="V5" s="269"/>
      <c r="W5" s="196"/>
      <c r="X5" s="208"/>
      <c r="Y5" s="163"/>
      <c r="Z5" s="194"/>
      <c r="AA5" s="194"/>
      <c r="AB5" s="190"/>
      <c r="AC5" s="193"/>
      <c r="AD5" s="269"/>
      <c r="AE5" s="266"/>
      <c r="AF5" s="208"/>
      <c r="AG5" s="171"/>
      <c r="AH5" s="164"/>
      <c r="AI5" s="164"/>
      <c r="AJ5" s="165"/>
      <c r="AK5" s="164"/>
      <c r="AL5" s="305"/>
      <c r="AM5" s="218"/>
      <c r="AN5" s="166"/>
      <c r="AO5" s="171"/>
      <c r="AP5" s="215"/>
      <c r="AQ5" s="215"/>
      <c r="AR5" s="216"/>
      <c r="AS5" s="210"/>
      <c r="AT5" s="215"/>
      <c r="AU5" s="217"/>
      <c r="AV5" s="208"/>
      <c r="AW5" s="171"/>
      <c r="AX5" s="213"/>
      <c r="AY5" s="213"/>
      <c r="AZ5" s="214"/>
      <c r="BA5" s="210"/>
      <c r="BB5" s="213"/>
      <c r="BC5" s="207"/>
      <c r="BD5" s="208"/>
      <c r="BE5" s="150"/>
      <c r="BF5" s="213"/>
      <c r="BG5" s="213"/>
      <c r="BH5" s="214"/>
      <c r="BI5" s="213"/>
      <c r="BJ5" s="213"/>
      <c r="BK5" s="218"/>
      <c r="BL5" s="166"/>
      <c r="BM5" s="171"/>
      <c r="BN5" s="278"/>
      <c r="BO5" s="277"/>
      <c r="BP5" s="275"/>
      <c r="BQ5" s="273"/>
      <c r="BR5" s="269"/>
      <c r="BS5" s="279"/>
      <c r="BT5" s="208"/>
      <c r="BU5" s="171"/>
      <c r="BV5" s="213"/>
      <c r="BW5" s="213"/>
      <c r="BX5" s="301"/>
      <c r="BY5" s="266"/>
      <c r="BZ5" s="213"/>
      <c r="CA5" s="302"/>
      <c r="CB5" s="208"/>
      <c r="CC5" s="150"/>
    </row>
    <row r="6" spans="1:81" ht="13.5" thickBot="1">
      <c r="A6" s="126" t="s">
        <v>49</v>
      </c>
      <c r="B6" s="155">
        <v>2023</v>
      </c>
      <c r="C6" s="156" t="s">
        <v>562</v>
      </c>
      <c r="D6" s="160"/>
      <c r="E6" s="160"/>
      <c r="F6" s="161"/>
      <c r="G6" s="155"/>
      <c r="H6" s="162"/>
      <c r="I6" s="163"/>
      <c r="J6" s="266"/>
      <c r="K6" s="266"/>
      <c r="L6" s="288"/>
      <c r="M6" s="194"/>
      <c r="N6" s="266"/>
      <c r="O6" s="292"/>
      <c r="P6" s="209"/>
      <c r="Q6" s="163"/>
      <c r="R6" s="269"/>
      <c r="S6" s="270"/>
      <c r="T6" s="190"/>
      <c r="U6" s="191"/>
      <c r="V6" s="269"/>
      <c r="W6" s="196"/>
      <c r="X6" s="209"/>
      <c r="Y6" s="163"/>
      <c r="Z6" s="194"/>
      <c r="AA6" s="194"/>
      <c r="AB6" s="190"/>
      <c r="AC6" s="193"/>
      <c r="AD6" s="269"/>
      <c r="AE6" s="266"/>
      <c r="AF6" s="209"/>
      <c r="AG6" s="171"/>
      <c r="AH6" s="164"/>
      <c r="AI6" s="164"/>
      <c r="AJ6" s="165"/>
      <c r="AK6" s="164"/>
      <c r="AL6" s="305"/>
      <c r="AM6" s="218"/>
      <c r="AN6" s="166"/>
      <c r="AO6" s="171"/>
      <c r="AP6" s="215"/>
      <c r="AQ6" s="215"/>
      <c r="AR6" s="216"/>
      <c r="AS6" s="210"/>
      <c r="AT6" s="215"/>
      <c r="AU6" s="217"/>
      <c r="AV6" s="209"/>
      <c r="AW6" s="171"/>
      <c r="AX6" s="213"/>
      <c r="AY6" s="213"/>
      <c r="AZ6" s="214"/>
      <c r="BA6" s="210"/>
      <c r="BB6" s="213"/>
      <c r="BC6" s="207"/>
      <c r="BD6" s="209"/>
      <c r="BE6" s="150"/>
      <c r="BF6" s="213"/>
      <c r="BG6" s="213"/>
      <c r="BH6" s="214"/>
      <c r="BI6" s="213"/>
      <c r="BJ6" s="213"/>
      <c r="BK6" s="218"/>
      <c r="BL6" s="166"/>
      <c r="BM6" s="171"/>
      <c r="BN6" s="278"/>
      <c r="BO6" s="277"/>
      <c r="BP6" s="275"/>
      <c r="BQ6" s="273"/>
      <c r="BR6" s="269"/>
      <c r="BS6" s="280"/>
      <c r="BT6" s="209"/>
      <c r="BU6" s="171"/>
      <c r="BV6" s="213"/>
      <c r="BW6" s="213"/>
      <c r="BX6" s="301"/>
      <c r="BY6" s="266"/>
      <c r="BZ6" s="213"/>
      <c r="CA6" s="302"/>
      <c r="CB6" s="209"/>
      <c r="CC6" s="150"/>
    </row>
    <row r="7" spans="1:81" ht="13.5" thickBot="1">
      <c r="A7" s="126" t="s">
        <v>49</v>
      </c>
      <c r="B7" s="155">
        <v>2023</v>
      </c>
      <c r="C7" s="156" t="s">
        <v>563</v>
      </c>
      <c r="D7" s="160"/>
      <c r="E7" s="160"/>
      <c r="F7" s="161"/>
      <c r="G7" s="155"/>
      <c r="H7" s="162"/>
      <c r="I7" s="163"/>
      <c r="J7" s="194"/>
      <c r="K7" s="194"/>
      <c r="L7" s="194"/>
      <c r="M7" s="194"/>
      <c r="N7" s="266"/>
      <c r="O7" s="292"/>
      <c r="P7" s="208"/>
      <c r="Q7" s="163"/>
      <c r="R7" s="269"/>
      <c r="S7" s="270"/>
      <c r="T7" s="190"/>
      <c r="U7" s="191"/>
      <c r="V7" s="269"/>
      <c r="W7" s="196"/>
      <c r="X7" s="208"/>
      <c r="Y7" s="163"/>
      <c r="Z7" s="194"/>
      <c r="AA7" s="194"/>
      <c r="AB7" s="190"/>
      <c r="AC7" s="193"/>
      <c r="AD7" s="269"/>
      <c r="AE7" s="266"/>
      <c r="AF7" s="208"/>
      <c r="AG7" s="171"/>
      <c r="AH7" s="164"/>
      <c r="AI7" s="164"/>
      <c r="AJ7" s="165"/>
      <c r="AK7" s="164"/>
      <c r="AL7" s="305"/>
      <c r="AM7" s="218"/>
      <c r="AN7" s="166"/>
      <c r="AO7" s="171"/>
      <c r="AP7" s="215"/>
      <c r="AQ7" s="215"/>
      <c r="AR7" s="216"/>
      <c r="AS7" s="211"/>
      <c r="AT7" s="215"/>
      <c r="AU7" s="218"/>
      <c r="AV7" s="208"/>
      <c r="AW7" s="171"/>
      <c r="AX7" s="213"/>
      <c r="AY7" s="213"/>
      <c r="AZ7" s="214"/>
      <c r="BA7" s="211"/>
      <c r="BB7" s="213"/>
      <c r="BC7" s="206"/>
      <c r="BD7" s="208"/>
      <c r="BE7" s="150"/>
      <c r="BF7" s="213"/>
      <c r="BG7" s="213"/>
      <c r="BH7" s="214"/>
      <c r="BI7" s="213"/>
      <c r="BJ7" s="213"/>
      <c r="BK7" s="218"/>
      <c r="BL7" s="166"/>
      <c r="BM7" s="171"/>
      <c r="BN7" s="278"/>
      <c r="BO7" s="277"/>
      <c r="BP7" s="275"/>
      <c r="BQ7" s="273"/>
      <c r="BR7" s="269"/>
      <c r="BS7" s="280"/>
      <c r="BT7" s="208"/>
      <c r="BU7" s="171"/>
      <c r="BV7" s="213"/>
      <c r="BW7" s="213"/>
      <c r="BX7" s="301"/>
      <c r="BY7" s="300"/>
      <c r="BZ7" s="213"/>
      <c r="CA7" s="303"/>
      <c r="CB7" s="208"/>
      <c r="CC7" s="150"/>
    </row>
    <row r="8" spans="1:81" ht="13.5" thickBot="1">
      <c r="A8" s="137" t="s">
        <v>434</v>
      </c>
      <c r="B8" s="155">
        <v>2023</v>
      </c>
      <c r="C8" s="156" t="s">
        <v>564</v>
      </c>
      <c r="D8" s="160"/>
      <c r="E8" s="160"/>
      <c r="F8" s="161"/>
      <c r="G8" s="155"/>
      <c r="H8" s="162"/>
      <c r="I8" s="163"/>
      <c r="J8" s="194"/>
      <c r="K8" s="194"/>
      <c r="L8" s="194"/>
      <c r="M8" s="194"/>
      <c r="N8" s="266"/>
      <c r="O8" s="292"/>
      <c r="P8" s="208"/>
      <c r="Q8" s="163"/>
      <c r="R8" s="269"/>
      <c r="S8" s="270"/>
      <c r="T8" s="190"/>
      <c r="U8" s="191"/>
      <c r="V8" s="269"/>
      <c r="W8" s="196"/>
      <c r="X8" s="208"/>
      <c r="Y8" s="163"/>
      <c r="Z8" s="194"/>
      <c r="AA8" s="194"/>
      <c r="AB8" s="190"/>
      <c r="AC8" s="193"/>
      <c r="AD8" s="269"/>
      <c r="AE8" s="266"/>
      <c r="AF8" s="208"/>
      <c r="AG8" s="171"/>
      <c r="AH8" s="164"/>
      <c r="AI8" s="164"/>
      <c r="AJ8" s="165"/>
      <c r="AK8" s="164"/>
      <c r="AL8" s="305"/>
      <c r="AM8" s="218"/>
      <c r="AN8" s="166"/>
      <c r="AO8" s="171"/>
      <c r="AP8" s="215"/>
      <c r="AQ8" s="215"/>
      <c r="AR8" s="216"/>
      <c r="AS8" s="211"/>
      <c r="AT8" s="215"/>
      <c r="AU8" s="218"/>
      <c r="AV8" s="208"/>
      <c r="AW8" s="171"/>
      <c r="AX8" s="213"/>
      <c r="AY8" s="213"/>
      <c r="AZ8" s="214"/>
      <c r="BA8" s="211"/>
      <c r="BB8" s="213"/>
      <c r="BC8" s="206"/>
      <c r="BD8" s="208"/>
      <c r="BE8" s="150"/>
      <c r="BF8" s="213"/>
      <c r="BG8" s="213"/>
      <c r="BH8" s="214"/>
      <c r="BI8" s="213"/>
      <c r="BJ8" s="213"/>
      <c r="BK8" s="218"/>
      <c r="BL8" s="166"/>
      <c r="BM8" s="171"/>
      <c r="BN8" s="278"/>
      <c r="BO8" s="277"/>
      <c r="BP8" s="275"/>
      <c r="BQ8" s="273"/>
      <c r="BR8" s="269"/>
      <c r="BS8" s="280"/>
      <c r="BT8" s="208"/>
      <c r="BU8" s="171"/>
      <c r="BV8" s="213"/>
      <c r="BW8" s="213"/>
      <c r="BX8" s="301"/>
      <c r="BY8" s="300"/>
      <c r="BZ8" s="213"/>
      <c r="CA8" s="303"/>
      <c r="CB8" s="208"/>
      <c r="CC8" s="150"/>
    </row>
    <row r="9" spans="1:81" ht="13.5" thickBot="1">
      <c r="A9" s="126" t="s">
        <v>49</v>
      </c>
      <c r="B9" s="155">
        <v>2023</v>
      </c>
      <c r="C9" s="156" t="s">
        <v>565</v>
      </c>
      <c r="D9" s="160"/>
      <c r="E9" s="160"/>
      <c r="F9" s="161"/>
      <c r="G9" s="155"/>
      <c r="H9" s="162"/>
      <c r="I9" s="163"/>
      <c r="J9" s="194"/>
      <c r="K9" s="194"/>
      <c r="L9" s="194"/>
      <c r="M9" s="194"/>
      <c r="N9" s="266"/>
      <c r="O9" s="291"/>
      <c r="P9" s="208"/>
      <c r="Q9" s="163"/>
      <c r="R9" s="269"/>
      <c r="S9" s="270"/>
      <c r="T9" s="190"/>
      <c r="U9" s="193"/>
      <c r="V9" s="269"/>
      <c r="W9" s="267"/>
      <c r="X9" s="208"/>
      <c r="Y9" s="163"/>
      <c r="Z9" s="194"/>
      <c r="AA9" s="194"/>
      <c r="AB9" s="190"/>
      <c r="AC9" s="193"/>
      <c r="AD9" s="269"/>
      <c r="AE9" s="266"/>
      <c r="AF9" s="208"/>
      <c r="AG9" s="171"/>
      <c r="AH9" s="164"/>
      <c r="AI9" s="164"/>
      <c r="AJ9" s="165"/>
      <c r="AK9" s="164"/>
      <c r="AL9" s="305"/>
      <c r="AM9" s="218"/>
      <c r="AN9" s="166"/>
      <c r="AO9" s="171"/>
      <c r="AP9" s="215"/>
      <c r="AQ9" s="215"/>
      <c r="AR9" s="216"/>
      <c r="AS9" s="210"/>
      <c r="AT9" s="215"/>
      <c r="AU9" s="217"/>
      <c r="AV9" s="208"/>
      <c r="AW9" s="171"/>
      <c r="AX9" s="213"/>
      <c r="AY9" s="213"/>
      <c r="AZ9" s="214"/>
      <c r="BA9" s="210"/>
      <c r="BB9" s="213"/>
      <c r="BC9" s="207"/>
      <c r="BD9" s="208"/>
      <c r="BE9" s="150"/>
      <c r="BF9" s="213"/>
      <c r="BG9" s="213"/>
      <c r="BH9" s="214"/>
      <c r="BI9" s="213"/>
      <c r="BJ9" s="213"/>
      <c r="BK9" s="218"/>
      <c r="BL9" s="166"/>
      <c r="BM9" s="171"/>
      <c r="BN9" s="278"/>
      <c r="BO9" s="277"/>
      <c r="BP9" s="275"/>
      <c r="BQ9" s="273"/>
      <c r="BR9" s="269"/>
      <c r="BS9" s="279"/>
      <c r="BT9" s="208"/>
      <c r="BU9" s="171"/>
      <c r="BV9" s="213"/>
      <c r="BW9" s="213"/>
      <c r="BX9" s="301"/>
      <c r="BY9" s="300"/>
      <c r="BZ9" s="213"/>
      <c r="CA9" s="303"/>
      <c r="CB9" s="208"/>
      <c r="CC9" s="150"/>
    </row>
    <row r="10" spans="1:81" ht="13.5" thickBot="1">
      <c r="A10" s="126" t="s">
        <v>49</v>
      </c>
      <c r="B10" s="155">
        <v>2023</v>
      </c>
      <c r="C10" s="156" t="s">
        <v>566</v>
      </c>
      <c r="D10" s="160"/>
      <c r="E10" s="160"/>
      <c r="F10" s="161"/>
      <c r="G10" s="155"/>
      <c r="H10" s="162"/>
      <c r="I10" s="163"/>
      <c r="J10" s="266"/>
      <c r="K10" s="266"/>
      <c r="L10" s="288"/>
      <c r="M10" s="266"/>
      <c r="N10" s="266"/>
      <c r="O10" s="293"/>
      <c r="P10" s="209"/>
      <c r="Q10" s="163"/>
      <c r="R10" s="269"/>
      <c r="S10" s="270"/>
      <c r="T10" s="190"/>
      <c r="U10" s="193"/>
      <c r="V10" s="269"/>
      <c r="W10" s="192"/>
      <c r="X10" s="209"/>
      <c r="Y10" s="163"/>
      <c r="Z10" s="269"/>
      <c r="AA10" s="270"/>
      <c r="AB10" s="190"/>
      <c r="AC10" s="193"/>
      <c r="AD10" s="269"/>
      <c r="AE10" s="265"/>
      <c r="AF10" s="209"/>
      <c r="AG10" s="171"/>
      <c r="AH10" s="164"/>
      <c r="AI10" s="164"/>
      <c r="AJ10" s="165"/>
      <c r="AK10" s="164"/>
      <c r="AL10" s="215"/>
      <c r="AM10" s="217"/>
      <c r="AN10" s="209"/>
      <c r="AO10" s="171"/>
      <c r="AP10" s="215"/>
      <c r="AQ10" s="215"/>
      <c r="AR10" s="216"/>
      <c r="AS10" s="210"/>
      <c r="AT10" s="215"/>
      <c r="AU10" s="217"/>
      <c r="AV10" s="209"/>
      <c r="AW10" s="171"/>
      <c r="AX10" s="213"/>
      <c r="AY10" s="213"/>
      <c r="AZ10" s="214"/>
      <c r="BA10" s="210"/>
      <c r="BB10" s="213"/>
      <c r="BC10" s="207"/>
      <c r="BD10" s="209"/>
      <c r="BE10" s="150"/>
      <c r="BF10" s="213"/>
      <c r="BG10" s="213"/>
      <c r="BH10" s="214"/>
      <c r="BI10" s="213"/>
      <c r="BJ10" s="213"/>
      <c r="BK10" s="218"/>
      <c r="BL10" s="166"/>
      <c r="BM10" s="171"/>
      <c r="BN10" s="278"/>
      <c r="BO10" s="277"/>
      <c r="BP10" s="275"/>
      <c r="BQ10" s="273"/>
      <c r="BR10" s="269"/>
      <c r="BS10" s="279"/>
      <c r="BT10" s="209"/>
      <c r="BU10" s="171"/>
      <c r="BV10" s="213"/>
      <c r="BW10" s="213"/>
      <c r="BX10" s="301"/>
      <c r="BY10" s="266"/>
      <c r="BZ10" s="213"/>
      <c r="CA10" s="302"/>
      <c r="CB10" s="209"/>
      <c r="CC10" s="150"/>
    </row>
    <row r="11" spans="1:81" ht="13.5" thickBot="1">
      <c r="A11" s="126" t="s">
        <v>49</v>
      </c>
      <c r="B11" s="155">
        <v>2023</v>
      </c>
      <c r="C11" s="156" t="s">
        <v>567</v>
      </c>
      <c r="D11" s="160"/>
      <c r="E11" s="160"/>
      <c r="F11" s="161"/>
      <c r="G11" s="155"/>
      <c r="H11" s="162"/>
      <c r="I11" s="163"/>
      <c r="J11" s="266"/>
      <c r="K11" s="266"/>
      <c r="L11" s="288"/>
      <c r="M11" s="266"/>
      <c r="N11" s="266"/>
      <c r="O11" s="293"/>
      <c r="P11" s="208"/>
      <c r="Q11" s="163"/>
      <c r="R11" s="269"/>
      <c r="S11" s="270"/>
      <c r="T11" s="190"/>
      <c r="U11" s="193"/>
      <c r="V11" s="269"/>
      <c r="W11" s="192"/>
      <c r="X11" s="208"/>
      <c r="Y11" s="163"/>
      <c r="Z11" s="269"/>
      <c r="AA11" s="270"/>
      <c r="AB11" s="190"/>
      <c r="AC11" s="193"/>
      <c r="AD11" s="269"/>
      <c r="AE11" s="265"/>
      <c r="AF11" s="208"/>
      <c r="AG11" s="171"/>
      <c r="AH11" s="164"/>
      <c r="AI11" s="164"/>
      <c r="AJ11" s="165"/>
      <c r="AK11" s="164"/>
      <c r="AL11" s="305"/>
      <c r="AM11" s="218"/>
      <c r="AN11" s="166"/>
      <c r="AO11" s="171"/>
      <c r="AP11" s="215"/>
      <c r="AQ11" s="215"/>
      <c r="AR11" s="216"/>
      <c r="AS11" s="210"/>
      <c r="AT11" s="215"/>
      <c r="AU11" s="217"/>
      <c r="AV11" s="208"/>
      <c r="AW11" s="171"/>
      <c r="AX11" s="213"/>
      <c r="AY11" s="213"/>
      <c r="AZ11" s="214"/>
      <c r="BA11" s="210"/>
      <c r="BB11" s="213"/>
      <c r="BC11" s="207"/>
      <c r="BD11" s="208"/>
      <c r="BE11" s="150"/>
      <c r="BF11" s="213"/>
      <c r="BG11" s="213"/>
      <c r="BH11" s="214"/>
      <c r="BI11" s="213"/>
      <c r="BJ11" s="213"/>
      <c r="BK11" s="290"/>
      <c r="BL11" s="166"/>
      <c r="BM11" s="171"/>
      <c r="BN11" s="278"/>
      <c r="BO11" s="277"/>
      <c r="BP11" s="275"/>
      <c r="BQ11" s="273"/>
      <c r="BR11" s="269"/>
      <c r="BS11" s="280"/>
      <c r="BT11" s="208"/>
      <c r="BU11" s="171"/>
      <c r="BV11" s="213"/>
      <c r="BW11" s="213"/>
      <c r="BX11" s="301"/>
      <c r="BY11" s="266"/>
      <c r="BZ11" s="213"/>
      <c r="CA11" s="302"/>
      <c r="CB11" s="208"/>
      <c r="CC11" s="150"/>
    </row>
    <row r="12" spans="1:81" ht="13.5" thickBot="1">
      <c r="A12" s="126" t="s">
        <v>49</v>
      </c>
      <c r="B12" s="155">
        <v>2023</v>
      </c>
      <c r="C12" s="156" t="s">
        <v>568</v>
      </c>
      <c r="D12" s="160"/>
      <c r="E12" s="160"/>
      <c r="F12" s="161"/>
      <c r="G12" s="155"/>
      <c r="H12" s="162"/>
      <c r="I12" s="163"/>
      <c r="J12" s="194"/>
      <c r="K12" s="194"/>
      <c r="L12" s="194"/>
      <c r="M12" s="194"/>
      <c r="N12" s="266"/>
      <c r="O12" s="292"/>
      <c r="P12" s="208"/>
      <c r="Q12" s="163"/>
      <c r="R12" s="269"/>
      <c r="S12" s="270"/>
      <c r="T12" s="190"/>
      <c r="U12" s="191"/>
      <c r="V12" s="269"/>
      <c r="W12" s="196"/>
      <c r="X12" s="208"/>
      <c r="Y12" s="163"/>
      <c r="Z12" s="194"/>
      <c r="AA12" s="194"/>
      <c r="AB12" s="190"/>
      <c r="AC12" s="193"/>
      <c r="AD12" s="269"/>
      <c r="AE12" s="266"/>
      <c r="AF12" s="208"/>
      <c r="AG12" s="171"/>
      <c r="AH12" s="164"/>
      <c r="AI12" s="164"/>
      <c r="AJ12" s="165"/>
      <c r="AK12" s="164"/>
      <c r="AL12" s="305"/>
      <c r="AM12" s="218"/>
      <c r="AN12" s="166"/>
      <c r="AO12" s="171"/>
      <c r="AP12" s="215"/>
      <c r="AQ12" s="215"/>
      <c r="AR12" s="216"/>
      <c r="AS12" s="210"/>
      <c r="AT12" s="215"/>
      <c r="AU12" s="217"/>
      <c r="AV12" s="208"/>
      <c r="AW12" s="171"/>
      <c r="AX12" s="213"/>
      <c r="AY12" s="213"/>
      <c r="AZ12" s="214"/>
      <c r="BA12" s="210"/>
      <c r="BB12" s="213"/>
      <c r="BC12" s="207"/>
      <c r="BD12" s="208"/>
      <c r="BE12" s="150"/>
      <c r="BF12" s="213"/>
      <c r="BG12" s="213"/>
      <c r="BH12" s="214"/>
      <c r="BI12" s="213"/>
      <c r="BJ12" s="213"/>
      <c r="BK12" s="218"/>
      <c r="BL12" s="166"/>
      <c r="BM12" s="171"/>
      <c r="BN12" s="278"/>
      <c r="BO12" s="277"/>
      <c r="BP12" s="275"/>
      <c r="BQ12" s="273"/>
      <c r="BR12" s="269"/>
      <c r="BS12" s="280"/>
      <c r="BT12" s="208"/>
      <c r="BU12" s="171"/>
      <c r="BV12" s="213"/>
      <c r="BW12" s="213"/>
      <c r="BX12" s="301"/>
      <c r="BY12" s="300"/>
      <c r="BZ12" s="213"/>
      <c r="CA12" s="303"/>
      <c r="CB12" s="208"/>
      <c r="CC12" s="150"/>
    </row>
    <row r="13" spans="1:81" ht="13.5" thickBot="1">
      <c r="A13" s="126" t="s">
        <v>49</v>
      </c>
      <c r="B13" s="155">
        <v>2023</v>
      </c>
      <c r="C13" s="156" t="s">
        <v>569</v>
      </c>
      <c r="D13" s="160"/>
      <c r="E13" s="160"/>
      <c r="F13" s="161"/>
      <c r="G13" s="155"/>
      <c r="H13" s="162"/>
      <c r="I13" s="163"/>
      <c r="J13" s="194"/>
      <c r="K13" s="194"/>
      <c r="L13" s="194"/>
      <c r="M13" s="194"/>
      <c r="N13" s="266"/>
      <c r="O13" s="292"/>
      <c r="P13" s="208"/>
      <c r="Q13" s="163"/>
      <c r="R13" s="269"/>
      <c r="S13" s="270"/>
      <c r="T13" s="190"/>
      <c r="U13" s="193"/>
      <c r="V13" s="269"/>
      <c r="W13" s="267"/>
      <c r="X13" s="208"/>
      <c r="Y13" s="163"/>
      <c r="Z13" s="194"/>
      <c r="AA13" s="194"/>
      <c r="AB13" s="190"/>
      <c r="AC13" s="193"/>
      <c r="AD13" s="269"/>
      <c r="AE13" s="266"/>
      <c r="AF13" s="208"/>
      <c r="AG13" s="171"/>
      <c r="AH13" s="164"/>
      <c r="AI13" s="164"/>
      <c r="AJ13" s="165"/>
      <c r="AK13" s="164"/>
      <c r="AL13" s="305"/>
      <c r="AM13" s="218"/>
      <c r="AN13" s="166"/>
      <c r="AO13" s="171"/>
      <c r="AP13" s="215"/>
      <c r="AQ13" s="215"/>
      <c r="AR13" s="216"/>
      <c r="AS13" s="211"/>
      <c r="AT13" s="215"/>
      <c r="AU13" s="218"/>
      <c r="AV13" s="208"/>
      <c r="AW13" s="171"/>
      <c r="AX13" s="213"/>
      <c r="AY13" s="213"/>
      <c r="AZ13" s="214"/>
      <c r="BA13" s="211"/>
      <c r="BB13" s="213"/>
      <c r="BC13" s="206"/>
      <c r="BD13" s="208"/>
      <c r="BE13" s="150"/>
      <c r="BF13" s="213"/>
      <c r="BG13" s="213"/>
      <c r="BH13" s="214"/>
      <c r="BI13" s="213"/>
      <c r="BJ13" s="213"/>
      <c r="BK13" s="218"/>
      <c r="BL13" s="166"/>
      <c r="BM13" s="171"/>
      <c r="BN13" s="278"/>
      <c r="BO13" s="277"/>
      <c r="BP13" s="275"/>
      <c r="BQ13" s="273"/>
      <c r="BR13" s="269"/>
      <c r="BS13" s="279"/>
      <c r="BT13" s="208"/>
      <c r="BU13" s="171"/>
      <c r="BV13" s="213"/>
      <c r="BW13" s="213"/>
      <c r="BX13" s="301"/>
      <c r="BY13" s="300"/>
      <c r="BZ13" s="213"/>
      <c r="CA13" s="303"/>
      <c r="CB13" s="208"/>
      <c r="CC13" s="150"/>
    </row>
    <row r="14" spans="1:81" ht="13.5" thickBot="1">
      <c r="A14" s="126" t="s">
        <v>49</v>
      </c>
      <c r="B14" s="155">
        <v>2023</v>
      </c>
      <c r="C14" s="156" t="s">
        <v>570</v>
      </c>
      <c r="D14" s="160"/>
      <c r="E14" s="160"/>
      <c r="F14" s="161"/>
      <c r="G14" s="155"/>
      <c r="H14" s="162"/>
      <c r="I14" s="163"/>
      <c r="J14" s="194"/>
      <c r="K14" s="194"/>
      <c r="L14" s="194"/>
      <c r="M14" s="194"/>
      <c r="N14" s="266"/>
      <c r="O14" s="292"/>
      <c r="P14" s="209"/>
      <c r="Q14" s="163"/>
      <c r="R14" s="269"/>
      <c r="S14" s="270"/>
      <c r="T14" s="190"/>
      <c r="U14" s="191"/>
      <c r="V14" s="269"/>
      <c r="W14" s="196"/>
      <c r="X14" s="209"/>
      <c r="Y14" s="163"/>
      <c r="Z14" s="194"/>
      <c r="AA14" s="194"/>
      <c r="AB14" s="190"/>
      <c r="AC14" s="193"/>
      <c r="AD14" s="269"/>
      <c r="AE14" s="266"/>
      <c r="AF14" s="209"/>
      <c r="AG14" s="171"/>
      <c r="AH14" s="164"/>
      <c r="AI14" s="164"/>
      <c r="AJ14" s="165"/>
      <c r="AK14" s="164"/>
      <c r="AL14" s="305"/>
      <c r="AM14" s="218"/>
      <c r="AN14" s="166"/>
      <c r="AO14" s="171"/>
      <c r="AP14" s="215"/>
      <c r="AQ14" s="215"/>
      <c r="AR14" s="216"/>
      <c r="AS14" s="211"/>
      <c r="AT14" s="215"/>
      <c r="AU14" s="218"/>
      <c r="AV14" s="209"/>
      <c r="AW14" s="171"/>
      <c r="AX14" s="213"/>
      <c r="AY14" s="213"/>
      <c r="AZ14" s="214"/>
      <c r="BA14" s="211"/>
      <c r="BB14" s="213"/>
      <c r="BC14" s="206"/>
      <c r="BD14" s="209"/>
      <c r="BE14" s="150"/>
      <c r="BF14" s="213"/>
      <c r="BG14" s="213"/>
      <c r="BH14" s="214"/>
      <c r="BI14" s="213"/>
      <c r="BJ14" s="213"/>
      <c r="BK14" s="218"/>
      <c r="BL14" s="166"/>
      <c r="BM14" s="171"/>
      <c r="BN14" s="278"/>
      <c r="BO14" s="277"/>
      <c r="BP14" s="275"/>
      <c r="BQ14" s="273"/>
      <c r="BR14" s="269"/>
      <c r="BS14" s="279"/>
      <c r="BT14" s="209"/>
      <c r="BU14" s="171"/>
      <c r="BV14" s="213"/>
      <c r="BW14" s="213"/>
      <c r="BX14" s="301"/>
      <c r="BY14" s="300"/>
      <c r="BZ14" s="213"/>
      <c r="CA14" s="303"/>
      <c r="CB14" s="209"/>
      <c r="CC14" s="150"/>
    </row>
    <row r="15" spans="1:81" ht="13.5" thickBot="1">
      <c r="A15" s="126" t="s">
        <v>49</v>
      </c>
      <c r="B15" s="155">
        <v>2023</v>
      </c>
      <c r="C15" s="156" t="s">
        <v>571</v>
      </c>
      <c r="D15" s="160"/>
      <c r="E15" s="160"/>
      <c r="F15" s="161"/>
      <c r="G15" s="155"/>
      <c r="H15" s="162"/>
      <c r="I15" s="163"/>
      <c r="J15" s="266"/>
      <c r="K15" s="266"/>
      <c r="L15" s="288"/>
      <c r="M15" s="266"/>
      <c r="N15" s="266"/>
      <c r="O15" s="291"/>
      <c r="P15" s="208"/>
      <c r="Q15" s="163"/>
      <c r="R15" s="269"/>
      <c r="S15" s="270"/>
      <c r="T15" s="190"/>
      <c r="U15" s="193"/>
      <c r="V15" s="269"/>
      <c r="W15" s="192"/>
      <c r="X15" s="208"/>
      <c r="Y15" s="163"/>
      <c r="Z15" s="269"/>
      <c r="AA15" s="270"/>
      <c r="AB15" s="190"/>
      <c r="AC15" s="193"/>
      <c r="AD15" s="269"/>
      <c r="AE15" s="265"/>
      <c r="AF15" s="208"/>
      <c r="AG15" s="171"/>
      <c r="AH15" s="164"/>
      <c r="AI15" s="164"/>
      <c r="AJ15" s="165"/>
      <c r="AK15" s="164"/>
      <c r="AL15" s="215"/>
      <c r="AM15" s="217"/>
      <c r="AN15" s="209"/>
      <c r="AO15" s="171"/>
      <c r="AP15" s="215"/>
      <c r="AQ15" s="215"/>
      <c r="AR15" s="216"/>
      <c r="AS15" s="210"/>
      <c r="AT15" s="215"/>
      <c r="AU15" s="217"/>
      <c r="AV15" s="208"/>
      <c r="AW15" s="171"/>
      <c r="AX15" s="213"/>
      <c r="AY15" s="213"/>
      <c r="AZ15" s="214"/>
      <c r="BA15" s="210"/>
      <c r="BB15" s="213"/>
      <c r="BC15" s="207"/>
      <c r="BD15" s="208"/>
      <c r="BE15" s="150"/>
      <c r="BF15" s="213"/>
      <c r="BG15" s="213"/>
      <c r="BH15" s="214"/>
      <c r="BI15" s="213"/>
      <c r="BJ15" s="213"/>
      <c r="BK15" s="218"/>
      <c r="BL15" s="166"/>
      <c r="BM15" s="171"/>
      <c r="BN15" s="278"/>
      <c r="BO15" s="277"/>
      <c r="BP15" s="275"/>
      <c r="BQ15" s="273"/>
      <c r="BR15" s="269"/>
      <c r="BS15" s="279"/>
      <c r="BT15" s="208"/>
      <c r="BU15" s="171"/>
      <c r="BV15" s="213"/>
      <c r="BW15" s="213"/>
      <c r="BX15" s="301"/>
      <c r="BY15" s="266"/>
      <c r="BZ15" s="213"/>
      <c r="CA15" s="302"/>
      <c r="CB15" s="208"/>
      <c r="CC15" s="150"/>
    </row>
    <row r="16" spans="1:81" ht="13.5" thickBot="1">
      <c r="A16" s="126" t="s">
        <v>49</v>
      </c>
      <c r="B16" s="155">
        <v>2023</v>
      </c>
      <c r="C16" s="156" t="s">
        <v>572</v>
      </c>
      <c r="D16" s="160"/>
      <c r="E16" s="160"/>
      <c r="F16" s="161"/>
      <c r="G16" s="155"/>
      <c r="H16" s="162"/>
      <c r="I16" s="163"/>
      <c r="J16" s="266"/>
      <c r="K16" s="266"/>
      <c r="L16" s="288"/>
      <c r="M16" s="266"/>
      <c r="N16" s="266"/>
      <c r="O16" s="293"/>
      <c r="P16" s="208"/>
      <c r="Q16" s="163"/>
      <c r="R16" s="269"/>
      <c r="S16" s="270"/>
      <c r="T16" s="190"/>
      <c r="U16" s="193"/>
      <c r="V16" s="269"/>
      <c r="W16" s="192"/>
      <c r="X16" s="208"/>
      <c r="Y16" s="163"/>
      <c r="Z16" s="269"/>
      <c r="AA16" s="270"/>
      <c r="AB16" s="190"/>
      <c r="AC16" s="193"/>
      <c r="AD16" s="269"/>
      <c r="AE16" s="265"/>
      <c r="AF16" s="208"/>
      <c r="AG16" s="171"/>
      <c r="AH16" s="164"/>
      <c r="AI16" s="164"/>
      <c r="AJ16" s="165"/>
      <c r="AK16" s="164"/>
      <c r="AL16" s="215"/>
      <c r="AM16" s="217"/>
      <c r="AN16" s="209"/>
      <c r="AO16" s="171"/>
      <c r="AP16" s="215"/>
      <c r="AQ16" s="215"/>
      <c r="AR16" s="216"/>
      <c r="AS16" s="210"/>
      <c r="AT16" s="215"/>
      <c r="AU16" s="217"/>
      <c r="AV16" s="208"/>
      <c r="AW16" s="171"/>
      <c r="AX16" s="213"/>
      <c r="AY16" s="213"/>
      <c r="AZ16" s="214"/>
      <c r="BA16" s="210"/>
      <c r="BB16" s="213"/>
      <c r="BC16" s="207"/>
      <c r="BD16" s="208"/>
      <c r="BE16" s="150"/>
      <c r="BF16" s="213"/>
      <c r="BG16" s="213"/>
      <c r="BH16" s="214"/>
      <c r="BI16" s="213"/>
      <c r="BJ16" s="296"/>
      <c r="BK16" s="218"/>
      <c r="BL16" s="166"/>
      <c r="BM16" s="171"/>
      <c r="BN16" s="278"/>
      <c r="BO16" s="277"/>
      <c r="BP16" s="275"/>
      <c r="BQ16" s="273"/>
      <c r="BR16" s="269"/>
      <c r="BS16" s="279"/>
      <c r="BT16" s="208"/>
      <c r="BU16" s="171"/>
      <c r="BV16" s="213"/>
      <c r="BW16" s="213"/>
      <c r="BX16" s="301"/>
      <c r="BY16" s="266"/>
      <c r="BZ16" s="213"/>
      <c r="CA16" s="302"/>
      <c r="CB16" s="208"/>
      <c r="CC16" s="150"/>
    </row>
    <row r="17" spans="1:81" ht="13.5" thickBot="1">
      <c r="A17" s="126" t="s">
        <v>49</v>
      </c>
      <c r="B17" s="155">
        <v>2023</v>
      </c>
      <c r="C17" s="156" t="s">
        <v>573</v>
      </c>
      <c r="D17" s="160"/>
      <c r="E17" s="160"/>
      <c r="F17" s="161"/>
      <c r="G17" s="155"/>
      <c r="H17" s="162"/>
      <c r="I17" s="163"/>
      <c r="J17" s="266"/>
      <c r="K17" s="266"/>
      <c r="L17" s="288"/>
      <c r="M17" s="194"/>
      <c r="N17" s="266"/>
      <c r="O17" s="292"/>
      <c r="P17" s="208"/>
      <c r="Q17" s="163"/>
      <c r="R17" s="269"/>
      <c r="S17" s="270"/>
      <c r="T17" s="190"/>
      <c r="U17" s="193"/>
      <c r="V17" s="269"/>
      <c r="W17" s="196"/>
      <c r="X17" s="208"/>
      <c r="Y17" s="163"/>
      <c r="Z17" s="194"/>
      <c r="AA17" s="194"/>
      <c r="AB17" s="190"/>
      <c r="AC17" s="193"/>
      <c r="AD17" s="269"/>
      <c r="AE17" s="266"/>
      <c r="AF17" s="208"/>
      <c r="AG17" s="171"/>
      <c r="AH17" s="164"/>
      <c r="AI17" s="164"/>
      <c r="AJ17" s="165"/>
      <c r="AK17" s="164"/>
      <c r="AL17" s="305"/>
      <c r="AM17" s="218"/>
      <c r="AN17" s="166"/>
      <c r="AO17" s="171"/>
      <c r="AP17" s="215"/>
      <c r="AQ17" s="215"/>
      <c r="AR17" s="216"/>
      <c r="AS17" s="210"/>
      <c r="AT17" s="215"/>
      <c r="AU17" s="217"/>
      <c r="AV17" s="208"/>
      <c r="AW17" s="171"/>
      <c r="AX17" s="213"/>
      <c r="AY17" s="213"/>
      <c r="AZ17" s="214"/>
      <c r="BA17" s="210"/>
      <c r="BB17" s="213"/>
      <c r="BC17" s="207"/>
      <c r="BD17" s="208"/>
      <c r="BE17" s="150"/>
      <c r="BF17" s="213"/>
      <c r="BG17" s="213"/>
      <c r="BH17" s="214"/>
      <c r="BI17" s="213"/>
      <c r="BJ17" s="296"/>
      <c r="BK17" s="218"/>
      <c r="BL17" s="166"/>
      <c r="BM17" s="171"/>
      <c r="BN17" s="278"/>
      <c r="BO17" s="277"/>
      <c r="BP17" s="275"/>
      <c r="BQ17" s="273"/>
      <c r="BR17" s="269"/>
      <c r="BS17" s="280"/>
      <c r="BT17" s="208"/>
      <c r="BU17" s="171"/>
      <c r="BV17" s="213"/>
      <c r="BW17" s="213"/>
      <c r="BX17" s="301"/>
      <c r="BY17" s="266"/>
      <c r="BZ17" s="213"/>
      <c r="CA17" s="302"/>
      <c r="CB17" s="208"/>
      <c r="CC17" s="150"/>
    </row>
    <row r="18" spans="1:81" ht="13.5" thickBot="1">
      <c r="A18" s="126" t="s">
        <v>49</v>
      </c>
      <c r="B18" s="155">
        <v>2023</v>
      </c>
      <c r="C18" s="156" t="s">
        <v>574</v>
      </c>
      <c r="D18" s="160"/>
      <c r="E18" s="160"/>
      <c r="F18" s="161"/>
      <c r="G18" s="155"/>
      <c r="H18" s="162"/>
      <c r="I18" s="163"/>
      <c r="J18" s="266"/>
      <c r="K18" s="266"/>
      <c r="L18" s="288"/>
      <c r="M18" s="266"/>
      <c r="N18" s="266"/>
      <c r="O18" s="291"/>
      <c r="P18" s="209"/>
      <c r="Q18" s="163"/>
      <c r="R18" s="269"/>
      <c r="S18" s="270"/>
      <c r="T18" s="190"/>
      <c r="U18" s="193"/>
      <c r="V18" s="269"/>
      <c r="W18" s="192"/>
      <c r="X18" s="209"/>
      <c r="Y18" s="163"/>
      <c r="Z18" s="269"/>
      <c r="AA18" s="270"/>
      <c r="AB18" s="190"/>
      <c r="AC18" s="193"/>
      <c r="AD18" s="269"/>
      <c r="AE18" s="265"/>
      <c r="AF18" s="209"/>
      <c r="AG18" s="171"/>
      <c r="AH18" s="164"/>
      <c r="AI18" s="164"/>
      <c r="AJ18" s="165"/>
      <c r="AK18" s="164"/>
      <c r="AL18" s="215"/>
      <c r="AM18" s="217"/>
      <c r="AN18" s="209"/>
      <c r="AO18" s="171"/>
      <c r="AP18" s="215"/>
      <c r="AQ18" s="215"/>
      <c r="AR18" s="216"/>
      <c r="AS18" s="210"/>
      <c r="AT18" s="215"/>
      <c r="AU18" s="217"/>
      <c r="AV18" s="209"/>
      <c r="AW18" s="171"/>
      <c r="AX18" s="213"/>
      <c r="AY18" s="213"/>
      <c r="AZ18" s="214"/>
      <c r="BA18" s="210"/>
      <c r="BB18" s="213"/>
      <c r="BC18" s="207"/>
      <c r="BD18" s="209"/>
      <c r="BE18" s="150"/>
      <c r="BF18" s="213"/>
      <c r="BG18" s="213"/>
      <c r="BH18" s="214"/>
      <c r="BI18" s="213"/>
      <c r="BJ18" s="296"/>
      <c r="BK18" s="295"/>
      <c r="BL18" s="166"/>
      <c r="BM18" s="171"/>
      <c r="BN18" s="278"/>
      <c r="BO18" s="277"/>
      <c r="BP18" s="275"/>
      <c r="BQ18" s="273"/>
      <c r="BR18" s="269"/>
      <c r="BS18" s="279"/>
      <c r="BT18" s="209"/>
      <c r="BU18" s="171"/>
      <c r="BV18" s="213"/>
      <c r="BW18" s="213"/>
      <c r="BX18" s="301"/>
      <c r="BY18" s="266"/>
      <c r="BZ18" s="213"/>
      <c r="CA18" s="302"/>
      <c r="CB18" s="209"/>
      <c r="CC18" s="150"/>
    </row>
    <row r="19" spans="1:81" ht="13.5" thickBot="1">
      <c r="A19" s="126" t="s">
        <v>49</v>
      </c>
      <c r="B19" s="155">
        <v>2023</v>
      </c>
      <c r="C19" s="156" t="s">
        <v>575</v>
      </c>
      <c r="D19" s="160"/>
      <c r="E19" s="160"/>
      <c r="F19" s="161"/>
      <c r="G19" s="155"/>
      <c r="H19" s="162"/>
      <c r="I19" s="163"/>
      <c r="J19" s="266"/>
      <c r="K19" s="266"/>
      <c r="L19" s="288"/>
      <c r="M19" s="194"/>
      <c r="N19" s="266"/>
      <c r="O19" s="292"/>
      <c r="P19" s="208"/>
      <c r="Q19" s="163"/>
      <c r="R19" s="269"/>
      <c r="S19" s="270"/>
      <c r="T19" s="190"/>
      <c r="U19" s="193"/>
      <c r="V19" s="269"/>
      <c r="W19" s="192"/>
      <c r="X19" s="208"/>
      <c r="Y19" s="163"/>
      <c r="Z19" s="194"/>
      <c r="AA19" s="194"/>
      <c r="AB19" s="190"/>
      <c r="AC19" s="193"/>
      <c r="AD19" s="269"/>
      <c r="AE19" s="266"/>
      <c r="AF19" s="208"/>
      <c r="AG19" s="171"/>
      <c r="AH19" s="164"/>
      <c r="AI19" s="164"/>
      <c r="AJ19" s="165"/>
      <c r="AK19" s="164"/>
      <c r="AL19" s="305"/>
      <c r="AM19" s="218"/>
      <c r="AN19" s="166"/>
      <c r="AO19" s="171"/>
      <c r="AP19" s="215"/>
      <c r="AQ19" s="215"/>
      <c r="AR19" s="216"/>
      <c r="AS19" s="210"/>
      <c r="AT19" s="215"/>
      <c r="AU19" s="217"/>
      <c r="AV19" s="208"/>
      <c r="AW19" s="171"/>
      <c r="AX19" s="213"/>
      <c r="AY19" s="213"/>
      <c r="AZ19" s="214"/>
      <c r="BA19" s="210"/>
      <c r="BB19" s="213"/>
      <c r="BC19" s="207"/>
      <c r="BD19" s="208"/>
      <c r="BE19" s="150"/>
      <c r="BF19" s="213"/>
      <c r="BG19" s="213"/>
      <c r="BH19" s="214"/>
      <c r="BI19" s="213"/>
      <c r="BJ19" s="296"/>
      <c r="BK19" s="218"/>
      <c r="BL19" s="166"/>
      <c r="BM19" s="171"/>
      <c r="BN19" s="278"/>
      <c r="BO19" s="277"/>
      <c r="BP19" s="275"/>
      <c r="BQ19" s="273"/>
      <c r="BR19" s="269"/>
      <c r="BS19" s="279"/>
      <c r="BT19" s="208"/>
      <c r="BU19" s="171"/>
      <c r="BV19" s="213"/>
      <c r="BW19" s="213"/>
      <c r="BX19" s="301"/>
      <c r="BY19" s="266"/>
      <c r="BZ19" s="213"/>
      <c r="CA19" s="302"/>
      <c r="CB19" s="208"/>
      <c r="CC19" s="150"/>
    </row>
    <row r="20" spans="1:81" ht="13.5" thickBot="1">
      <c r="A20" s="126" t="s">
        <v>49</v>
      </c>
      <c r="B20" s="155">
        <v>2023</v>
      </c>
      <c r="C20" s="156" t="s">
        <v>576</v>
      </c>
      <c r="D20" s="160"/>
      <c r="E20" s="160"/>
      <c r="F20" s="161"/>
      <c r="G20" s="155"/>
      <c r="H20" s="162"/>
      <c r="I20" s="163"/>
      <c r="J20" s="266"/>
      <c r="K20" s="266"/>
      <c r="L20" s="288"/>
      <c r="M20" s="266"/>
      <c r="N20" s="266"/>
      <c r="O20" s="291"/>
      <c r="P20" s="208"/>
      <c r="Q20" s="163"/>
      <c r="R20" s="269"/>
      <c r="S20" s="270"/>
      <c r="T20" s="190"/>
      <c r="U20" s="272"/>
      <c r="V20" s="269"/>
      <c r="W20" s="271"/>
      <c r="X20" s="208"/>
      <c r="Y20" s="163"/>
      <c r="Z20" s="194"/>
      <c r="AA20" s="194"/>
      <c r="AB20" s="190"/>
      <c r="AC20" s="193"/>
      <c r="AD20" s="269"/>
      <c r="AE20" s="266"/>
      <c r="AF20" s="208"/>
      <c r="AG20" s="171"/>
      <c r="AH20" s="164"/>
      <c r="AI20" s="164"/>
      <c r="AJ20" s="165"/>
      <c r="AK20" s="164"/>
      <c r="AL20" s="305"/>
      <c r="AM20" s="218"/>
      <c r="AN20" s="166"/>
      <c r="AO20" s="171"/>
      <c r="AP20" s="215"/>
      <c r="AQ20" s="215"/>
      <c r="AR20" s="216"/>
      <c r="AS20" s="210"/>
      <c r="AT20" s="215"/>
      <c r="AU20" s="217"/>
      <c r="AV20" s="208"/>
      <c r="AW20" s="171"/>
      <c r="AX20" s="213"/>
      <c r="AY20" s="213"/>
      <c r="AZ20" s="214"/>
      <c r="BA20" s="212"/>
      <c r="BB20" s="213"/>
      <c r="BC20" s="212"/>
      <c r="BD20" s="208"/>
      <c r="BE20" s="150"/>
      <c r="BF20" s="213"/>
      <c r="BG20" s="213"/>
      <c r="BH20" s="214"/>
      <c r="BI20" s="213"/>
      <c r="BJ20" s="296"/>
      <c r="BK20" s="218"/>
      <c r="BL20" s="166"/>
      <c r="BM20" s="171"/>
      <c r="BN20" s="278"/>
      <c r="BO20" s="277"/>
      <c r="BP20" s="275"/>
      <c r="BQ20" s="273"/>
      <c r="BR20" s="269"/>
      <c r="BS20" s="279"/>
      <c r="BT20" s="208"/>
      <c r="BU20" s="171"/>
      <c r="BV20" s="213"/>
      <c r="BW20" s="213"/>
      <c r="BX20" s="301"/>
      <c r="BY20" s="266"/>
      <c r="BZ20" s="213"/>
      <c r="CA20" s="302"/>
      <c r="CB20" s="208"/>
      <c r="CC20" s="150"/>
    </row>
    <row r="21" spans="1:81" ht="13.5" thickBot="1">
      <c r="A21" s="126" t="s">
        <v>49</v>
      </c>
      <c r="B21" s="155">
        <v>2023</v>
      </c>
      <c r="C21" s="156" t="s">
        <v>577</v>
      </c>
      <c r="D21" s="160"/>
      <c r="E21" s="160"/>
      <c r="F21" s="161"/>
      <c r="G21" s="155"/>
      <c r="H21" s="162"/>
      <c r="I21" s="163"/>
      <c r="J21" s="194"/>
      <c r="K21" s="194"/>
      <c r="L21" s="194"/>
      <c r="M21" s="194"/>
      <c r="N21" s="266"/>
      <c r="O21" s="292"/>
      <c r="P21" s="208"/>
      <c r="Q21" s="163"/>
      <c r="R21" s="269"/>
      <c r="S21" s="270"/>
      <c r="T21" s="190"/>
      <c r="U21" s="191"/>
      <c r="V21" s="269"/>
      <c r="W21" s="196"/>
      <c r="X21" s="208"/>
      <c r="Y21" s="163"/>
      <c r="Z21" s="194"/>
      <c r="AA21" s="194"/>
      <c r="AB21" s="190"/>
      <c r="AC21" s="193"/>
      <c r="AD21" s="269"/>
      <c r="AE21" s="266"/>
      <c r="AF21" s="208"/>
      <c r="AG21" s="171"/>
      <c r="AH21" s="164"/>
      <c r="AI21" s="164"/>
      <c r="AJ21" s="165"/>
      <c r="AK21" s="164"/>
      <c r="AL21" s="305"/>
      <c r="AM21" s="218"/>
      <c r="AN21" s="166"/>
      <c r="AO21" s="171"/>
      <c r="AP21" s="215"/>
      <c r="AQ21" s="215"/>
      <c r="AR21" s="216"/>
      <c r="AS21" s="210"/>
      <c r="AT21" s="215"/>
      <c r="AU21" s="217"/>
      <c r="AV21" s="208"/>
      <c r="AW21" s="171"/>
      <c r="AX21" s="213"/>
      <c r="AY21" s="213"/>
      <c r="AZ21" s="214"/>
      <c r="BA21" s="210"/>
      <c r="BB21" s="213"/>
      <c r="BC21" s="207"/>
      <c r="BD21" s="208"/>
      <c r="BE21" s="150"/>
      <c r="BF21" s="213"/>
      <c r="BG21" s="213"/>
      <c r="BH21" s="214"/>
      <c r="BI21" s="213"/>
      <c r="BJ21" s="296"/>
      <c r="BK21" s="218"/>
      <c r="BL21" s="166"/>
      <c r="BM21" s="171"/>
      <c r="BN21" s="278"/>
      <c r="BO21" s="277"/>
      <c r="BP21" s="275"/>
      <c r="BQ21" s="273"/>
      <c r="BR21" s="269"/>
      <c r="BS21" s="279"/>
      <c r="BT21" s="208"/>
      <c r="BU21" s="171"/>
      <c r="BV21" s="213"/>
      <c r="BW21" s="213"/>
      <c r="BX21" s="301"/>
      <c r="BY21" s="300"/>
      <c r="BZ21" s="213"/>
      <c r="CA21" s="303"/>
      <c r="CB21" s="208"/>
      <c r="CC21" s="150"/>
    </row>
    <row r="22" spans="1:81" ht="13.5" thickBot="1">
      <c r="A22" s="126" t="s">
        <v>49</v>
      </c>
      <c r="B22" s="155">
        <v>2023</v>
      </c>
      <c r="C22" s="156" t="s">
        <v>578</v>
      </c>
      <c r="D22" s="160"/>
      <c r="E22" s="160"/>
      <c r="F22" s="161"/>
      <c r="G22" s="155"/>
      <c r="H22" s="162"/>
      <c r="I22" s="163"/>
      <c r="J22" s="266"/>
      <c r="K22" s="266"/>
      <c r="L22" s="288"/>
      <c r="M22" s="266"/>
      <c r="N22" s="289"/>
      <c r="O22" s="292"/>
      <c r="P22" s="209"/>
      <c r="Q22" s="163"/>
      <c r="R22" s="269"/>
      <c r="S22" s="270"/>
      <c r="T22" s="190"/>
      <c r="U22" s="193"/>
      <c r="V22" s="269"/>
      <c r="W22" s="192"/>
      <c r="X22" s="209"/>
      <c r="Y22" s="163"/>
      <c r="Z22" s="269"/>
      <c r="AA22" s="270"/>
      <c r="AB22" s="190"/>
      <c r="AC22" s="193"/>
      <c r="AD22" s="269"/>
      <c r="AE22" s="265"/>
      <c r="AF22" s="209"/>
      <c r="AG22" s="171"/>
      <c r="AH22" s="164"/>
      <c r="AI22" s="164"/>
      <c r="AJ22" s="165"/>
      <c r="AK22" s="164"/>
      <c r="AL22" s="215"/>
      <c r="AM22" s="217"/>
      <c r="AN22" s="209"/>
      <c r="AO22" s="171"/>
      <c r="AP22" s="215"/>
      <c r="AQ22" s="215"/>
      <c r="AR22" s="216"/>
      <c r="AS22" s="210"/>
      <c r="AT22" s="215"/>
      <c r="AU22" s="217"/>
      <c r="AV22" s="209"/>
      <c r="AW22" s="171"/>
      <c r="AX22" s="213"/>
      <c r="AY22" s="213"/>
      <c r="AZ22" s="214"/>
      <c r="BA22" s="210"/>
      <c r="BB22" s="213"/>
      <c r="BC22" s="207"/>
      <c r="BD22" s="209"/>
      <c r="BE22" s="150"/>
      <c r="BF22" s="213"/>
      <c r="BG22" s="213"/>
      <c r="BH22" s="214"/>
      <c r="BI22" s="213"/>
      <c r="BJ22" s="296"/>
      <c r="BK22" s="218"/>
      <c r="BL22" s="166"/>
      <c r="BM22" s="171"/>
      <c r="BN22" s="278"/>
      <c r="BO22" s="277"/>
      <c r="BP22" s="275"/>
      <c r="BQ22" s="273"/>
      <c r="BR22" s="269"/>
      <c r="BS22" s="279"/>
      <c r="BT22" s="209"/>
      <c r="BU22" s="171"/>
      <c r="BV22" s="213"/>
      <c r="BW22" s="213"/>
      <c r="BX22" s="301"/>
      <c r="BY22" s="266"/>
      <c r="BZ22" s="213"/>
      <c r="CA22" s="302"/>
      <c r="CB22" s="209"/>
      <c r="CC22" s="150"/>
    </row>
    <row r="23" spans="1:81" ht="13.5" thickBot="1">
      <c r="A23" s="126" t="s">
        <v>49</v>
      </c>
      <c r="B23" s="155">
        <v>2023</v>
      </c>
      <c r="C23" s="156" t="s">
        <v>579</v>
      </c>
      <c r="D23" s="160"/>
      <c r="E23" s="160"/>
      <c r="F23" s="161"/>
      <c r="G23" s="155"/>
      <c r="H23" s="162"/>
      <c r="I23" s="163"/>
      <c r="J23" s="266"/>
      <c r="K23" s="266"/>
      <c r="L23" s="288"/>
      <c r="M23" s="266"/>
      <c r="N23" s="266"/>
      <c r="O23" s="293"/>
      <c r="P23" s="208"/>
      <c r="Q23" s="163"/>
      <c r="R23" s="269"/>
      <c r="S23" s="270"/>
      <c r="T23" s="190"/>
      <c r="U23" s="193"/>
      <c r="V23" s="269"/>
      <c r="W23" s="192"/>
      <c r="X23" s="208"/>
      <c r="Y23" s="163"/>
      <c r="Z23" s="269"/>
      <c r="AA23" s="270"/>
      <c r="AB23" s="190"/>
      <c r="AC23" s="193"/>
      <c r="AD23" s="269"/>
      <c r="AE23" s="265"/>
      <c r="AF23" s="208"/>
      <c r="AG23" s="171"/>
      <c r="AH23" s="164"/>
      <c r="AI23" s="164"/>
      <c r="AJ23" s="165"/>
      <c r="AK23" s="164"/>
      <c r="AL23" s="305"/>
      <c r="AM23" s="218"/>
      <c r="AN23" s="166"/>
      <c r="AO23" s="171"/>
      <c r="AP23" s="215"/>
      <c r="AQ23" s="215"/>
      <c r="AR23" s="216"/>
      <c r="AS23" s="210"/>
      <c r="AT23" s="215"/>
      <c r="AU23" s="217"/>
      <c r="AV23" s="208"/>
      <c r="AW23" s="171"/>
      <c r="AX23" s="213"/>
      <c r="AY23" s="213"/>
      <c r="AZ23" s="214"/>
      <c r="BA23" s="210"/>
      <c r="BB23" s="213"/>
      <c r="BC23" s="207"/>
      <c r="BD23" s="208"/>
      <c r="BE23" s="150"/>
      <c r="BF23" s="213"/>
      <c r="BG23" s="213"/>
      <c r="BH23" s="214"/>
      <c r="BI23" s="213"/>
      <c r="BJ23" s="213"/>
      <c r="BK23" s="290"/>
      <c r="BL23" s="166"/>
      <c r="BM23" s="171"/>
      <c r="BN23" s="278"/>
      <c r="BO23" s="277"/>
      <c r="BP23" s="275"/>
      <c r="BQ23" s="273"/>
      <c r="BR23" s="269"/>
      <c r="BS23" s="280"/>
      <c r="BT23" s="208"/>
      <c r="BU23" s="171"/>
      <c r="BV23" s="213"/>
      <c r="BW23" s="213"/>
      <c r="BX23" s="301"/>
      <c r="BY23" s="266"/>
      <c r="BZ23" s="213"/>
      <c r="CA23" s="302"/>
      <c r="CB23" s="208"/>
      <c r="CC23" s="150"/>
    </row>
    <row r="24" spans="1:81" ht="13.5" thickBot="1">
      <c r="A24" s="126" t="s">
        <v>49</v>
      </c>
      <c r="B24" s="155">
        <v>2023</v>
      </c>
      <c r="C24" s="156" t="s">
        <v>580</v>
      </c>
      <c r="D24" s="160"/>
      <c r="E24" s="160"/>
      <c r="F24" s="161"/>
      <c r="G24" s="155"/>
      <c r="H24" s="162"/>
      <c r="I24" s="163"/>
      <c r="J24" s="266"/>
      <c r="K24" s="266"/>
      <c r="L24" s="288"/>
      <c r="M24" s="266"/>
      <c r="N24" s="266"/>
      <c r="O24" s="293"/>
      <c r="P24" s="208"/>
      <c r="Q24" s="163"/>
      <c r="R24" s="269"/>
      <c r="S24" s="270"/>
      <c r="T24" s="190"/>
      <c r="U24" s="193"/>
      <c r="V24" s="269"/>
      <c r="W24" s="192"/>
      <c r="X24" s="208"/>
      <c r="Y24" s="163"/>
      <c r="Z24" s="269"/>
      <c r="AA24" s="270"/>
      <c r="AB24" s="190"/>
      <c r="AC24" s="193"/>
      <c r="AD24" s="269"/>
      <c r="AE24" s="265"/>
      <c r="AF24" s="208"/>
      <c r="AG24" s="171"/>
      <c r="AH24" s="164"/>
      <c r="AI24" s="164"/>
      <c r="AJ24" s="165"/>
      <c r="AK24" s="164"/>
      <c r="AL24" s="215"/>
      <c r="AM24" s="217"/>
      <c r="AN24" s="209"/>
      <c r="AO24" s="171"/>
      <c r="AP24" s="215"/>
      <c r="AQ24" s="215"/>
      <c r="AR24" s="216"/>
      <c r="AS24" s="210"/>
      <c r="AT24" s="215"/>
      <c r="AU24" s="217"/>
      <c r="AV24" s="208"/>
      <c r="AW24" s="171"/>
      <c r="AX24" s="213"/>
      <c r="AY24" s="213"/>
      <c r="AZ24" s="214"/>
      <c r="BA24" s="210"/>
      <c r="BB24" s="213"/>
      <c r="BC24" s="207"/>
      <c r="BD24" s="208"/>
      <c r="BE24" s="150"/>
      <c r="BF24" s="213"/>
      <c r="BG24" s="213"/>
      <c r="BH24" s="214"/>
      <c r="BI24" s="213"/>
      <c r="BJ24" s="213"/>
      <c r="BK24" s="295"/>
      <c r="BL24" s="166"/>
      <c r="BM24" s="171"/>
      <c r="BN24" s="278"/>
      <c r="BO24" s="277"/>
      <c r="BP24" s="275"/>
      <c r="BQ24" s="273"/>
      <c r="BR24" s="269"/>
      <c r="BS24" s="280"/>
      <c r="BT24" s="208"/>
      <c r="BU24" s="171"/>
      <c r="BV24" s="213"/>
      <c r="BW24" s="213"/>
      <c r="BX24" s="301"/>
      <c r="BY24" s="266"/>
      <c r="BZ24" s="213"/>
      <c r="CA24" s="302"/>
      <c r="CB24" s="208"/>
      <c r="CC24" s="150"/>
    </row>
    <row r="25" spans="1:81" ht="13.5" thickBot="1">
      <c r="A25" s="126" t="s">
        <v>49</v>
      </c>
      <c r="B25" s="155">
        <v>2023</v>
      </c>
      <c r="C25" s="156" t="s">
        <v>581</v>
      </c>
      <c r="D25" s="160"/>
      <c r="E25" s="160"/>
      <c r="F25" s="161"/>
      <c r="G25" s="155"/>
      <c r="H25" s="162"/>
      <c r="I25" s="163"/>
      <c r="J25" s="194"/>
      <c r="K25" s="194"/>
      <c r="L25" s="194"/>
      <c r="M25" s="194"/>
      <c r="N25" s="266"/>
      <c r="O25" s="292"/>
      <c r="P25" s="208"/>
      <c r="Q25" s="163"/>
      <c r="R25" s="269"/>
      <c r="S25" s="270"/>
      <c r="T25" s="190"/>
      <c r="U25" s="191"/>
      <c r="V25" s="269"/>
      <c r="W25" s="196"/>
      <c r="X25" s="208"/>
      <c r="Y25" s="163"/>
      <c r="Z25" s="194"/>
      <c r="AA25" s="194"/>
      <c r="AB25" s="190"/>
      <c r="AC25" s="193"/>
      <c r="AD25" s="269"/>
      <c r="AE25" s="266"/>
      <c r="AF25" s="208"/>
      <c r="AG25" s="171"/>
      <c r="AH25" s="164"/>
      <c r="AI25" s="164"/>
      <c r="AJ25" s="165"/>
      <c r="AK25" s="164"/>
      <c r="AL25" s="305"/>
      <c r="AM25" s="218"/>
      <c r="AN25" s="166"/>
      <c r="AO25" s="171"/>
      <c r="AP25" s="215"/>
      <c r="AQ25" s="215"/>
      <c r="AR25" s="216"/>
      <c r="AS25" s="211"/>
      <c r="AT25" s="215"/>
      <c r="AU25" s="218"/>
      <c r="AV25" s="208"/>
      <c r="AW25" s="171"/>
      <c r="AX25" s="213"/>
      <c r="AY25" s="213"/>
      <c r="AZ25" s="214"/>
      <c r="BA25" s="211"/>
      <c r="BB25" s="213"/>
      <c r="BC25" s="206"/>
      <c r="BD25" s="208"/>
      <c r="BE25" s="150"/>
      <c r="BF25" s="213"/>
      <c r="BG25" s="213"/>
      <c r="BH25" s="214"/>
      <c r="BI25" s="213"/>
      <c r="BJ25" s="213"/>
      <c r="BK25" s="218"/>
      <c r="BL25" s="166"/>
      <c r="BM25" s="171"/>
      <c r="BN25" s="278"/>
      <c r="BO25" s="277"/>
      <c r="BP25" s="275"/>
      <c r="BQ25" s="273"/>
      <c r="BR25" s="269"/>
      <c r="BS25" s="280"/>
      <c r="BT25" s="208"/>
      <c r="BU25" s="171"/>
      <c r="BV25" s="213"/>
      <c r="BW25" s="213"/>
      <c r="BX25" s="301"/>
      <c r="BY25" s="300"/>
      <c r="BZ25" s="213"/>
      <c r="CA25" s="303"/>
      <c r="CB25" s="208"/>
      <c r="CC25" s="150"/>
    </row>
    <row r="26" spans="1:81" ht="13.5" thickBot="1">
      <c r="A26" s="126" t="s">
        <v>49</v>
      </c>
      <c r="B26" s="155">
        <v>2023</v>
      </c>
      <c r="C26" s="156" t="s">
        <v>582</v>
      </c>
      <c r="D26" s="160"/>
      <c r="E26" s="160"/>
      <c r="F26" s="161"/>
      <c r="G26" s="155"/>
      <c r="H26" s="162"/>
      <c r="I26" s="163"/>
      <c r="J26" s="266"/>
      <c r="K26" s="266"/>
      <c r="L26" s="288"/>
      <c r="M26" s="266"/>
      <c r="N26" s="266"/>
      <c r="O26" s="293"/>
      <c r="P26" s="209"/>
      <c r="Q26" s="163"/>
      <c r="R26" s="269"/>
      <c r="S26" s="270"/>
      <c r="T26" s="190"/>
      <c r="U26" s="193"/>
      <c r="V26" s="269"/>
      <c r="W26" s="192"/>
      <c r="X26" s="209"/>
      <c r="Y26" s="163"/>
      <c r="Z26" s="269"/>
      <c r="AA26" s="270"/>
      <c r="AB26" s="190"/>
      <c r="AC26" s="193"/>
      <c r="AD26" s="269"/>
      <c r="AE26" s="265"/>
      <c r="AF26" s="209"/>
      <c r="AG26" s="171"/>
      <c r="AH26" s="164"/>
      <c r="AI26" s="164"/>
      <c r="AJ26" s="165"/>
      <c r="AK26" s="164"/>
      <c r="AL26" s="215"/>
      <c r="AM26" s="217"/>
      <c r="AN26" s="209"/>
      <c r="AO26" s="171"/>
      <c r="AP26" s="215"/>
      <c r="AQ26" s="215"/>
      <c r="AR26" s="216"/>
      <c r="AS26" s="210"/>
      <c r="AT26" s="215"/>
      <c r="AU26" s="217"/>
      <c r="AV26" s="209"/>
      <c r="AW26" s="171"/>
      <c r="AX26" s="213"/>
      <c r="AY26" s="213"/>
      <c r="AZ26" s="214"/>
      <c r="BA26" s="210"/>
      <c r="BB26" s="213"/>
      <c r="BC26" s="207"/>
      <c r="BD26" s="209"/>
      <c r="BE26" s="150"/>
      <c r="BF26" s="213"/>
      <c r="BG26" s="213"/>
      <c r="BH26" s="214"/>
      <c r="BI26" s="213"/>
      <c r="BJ26" s="213"/>
      <c r="BK26" s="290"/>
      <c r="BL26" s="166"/>
      <c r="BM26" s="171"/>
      <c r="BN26" s="278"/>
      <c r="BO26" s="277"/>
      <c r="BP26" s="275"/>
      <c r="BQ26" s="273"/>
      <c r="BR26" s="269"/>
      <c r="BS26" s="279"/>
      <c r="BT26" s="209"/>
      <c r="BU26" s="171"/>
      <c r="BV26" s="213"/>
      <c r="BW26" s="213"/>
      <c r="BX26" s="301"/>
      <c r="BY26" s="266"/>
      <c r="BZ26" s="213"/>
      <c r="CA26" s="302"/>
      <c r="CB26" s="209"/>
      <c r="CC26" s="150"/>
    </row>
    <row r="27" spans="1:81" ht="13.5" thickBot="1">
      <c r="A27" s="126" t="s">
        <v>49</v>
      </c>
      <c r="B27" s="155">
        <v>2023</v>
      </c>
      <c r="C27" s="156" t="s">
        <v>583</v>
      </c>
      <c r="D27" s="160"/>
      <c r="E27" s="160"/>
      <c r="F27" s="161"/>
      <c r="G27" s="155"/>
      <c r="H27" s="162"/>
      <c r="I27" s="163"/>
      <c r="J27" s="266"/>
      <c r="K27" s="266"/>
      <c r="L27" s="288"/>
      <c r="M27" s="266"/>
      <c r="N27" s="266"/>
      <c r="O27" s="293"/>
      <c r="P27" s="208"/>
      <c r="Q27" s="163"/>
      <c r="R27" s="269"/>
      <c r="S27" s="270"/>
      <c r="T27" s="190"/>
      <c r="U27" s="193"/>
      <c r="V27" s="269"/>
      <c r="W27" s="192"/>
      <c r="X27" s="208"/>
      <c r="Y27" s="163"/>
      <c r="Z27" s="269"/>
      <c r="AA27" s="270"/>
      <c r="AB27" s="190"/>
      <c r="AC27" s="193"/>
      <c r="AD27" s="269"/>
      <c r="AE27" s="265"/>
      <c r="AF27" s="208"/>
      <c r="AG27" s="171"/>
      <c r="AH27" s="164"/>
      <c r="AI27" s="164"/>
      <c r="AJ27" s="165"/>
      <c r="AK27" s="164"/>
      <c r="AL27" s="215"/>
      <c r="AM27" s="217"/>
      <c r="AN27" s="209"/>
      <c r="AO27" s="171"/>
      <c r="AP27" s="215"/>
      <c r="AQ27" s="215"/>
      <c r="AR27" s="216"/>
      <c r="AS27" s="210"/>
      <c r="AT27" s="215"/>
      <c r="AU27" s="217"/>
      <c r="AV27" s="208"/>
      <c r="AW27" s="171"/>
      <c r="AX27" s="213"/>
      <c r="AY27" s="213"/>
      <c r="AZ27" s="214"/>
      <c r="BA27" s="210"/>
      <c r="BB27" s="213"/>
      <c r="BC27" s="208"/>
      <c r="BD27" s="208"/>
      <c r="BE27" s="150"/>
      <c r="BF27" s="213"/>
      <c r="BG27" s="213"/>
      <c r="BH27" s="214"/>
      <c r="BI27" s="213"/>
      <c r="BJ27" s="213"/>
      <c r="BK27" s="295"/>
      <c r="BL27" s="166"/>
      <c r="BM27" s="171"/>
      <c r="BN27" s="278"/>
      <c r="BO27" s="277"/>
      <c r="BP27" s="275"/>
      <c r="BQ27" s="273"/>
      <c r="BR27" s="269"/>
      <c r="BS27" s="279"/>
      <c r="BT27" s="208"/>
      <c r="BU27" s="171"/>
      <c r="BV27" s="213"/>
      <c r="BW27" s="213"/>
      <c r="BX27" s="301"/>
      <c r="BY27" s="266"/>
      <c r="BZ27" s="213"/>
      <c r="CA27" s="302"/>
      <c r="CB27" s="208"/>
      <c r="CC27" s="150"/>
    </row>
    <row r="28" spans="1:81" ht="13.5" thickBot="1">
      <c r="A28" s="126" t="s">
        <v>49</v>
      </c>
      <c r="B28" s="155">
        <v>2023</v>
      </c>
      <c r="C28" s="156" t="s">
        <v>584</v>
      </c>
      <c r="D28" s="160"/>
      <c r="E28" s="160"/>
      <c r="F28" s="161"/>
      <c r="G28" s="155"/>
      <c r="H28" s="162"/>
      <c r="I28" s="163"/>
      <c r="J28" s="266"/>
      <c r="K28" s="266"/>
      <c r="L28" s="288"/>
      <c r="M28" s="266"/>
      <c r="N28" s="266"/>
      <c r="O28" s="293"/>
      <c r="P28" s="208"/>
      <c r="Q28" s="163"/>
      <c r="R28" s="269"/>
      <c r="S28" s="270"/>
      <c r="T28" s="190"/>
      <c r="U28" s="193"/>
      <c r="V28" s="269"/>
      <c r="W28" s="192"/>
      <c r="X28" s="208"/>
      <c r="Y28" s="163"/>
      <c r="Z28" s="269"/>
      <c r="AA28" s="270"/>
      <c r="AB28" s="190"/>
      <c r="AC28" s="193"/>
      <c r="AD28" s="269"/>
      <c r="AE28" s="265"/>
      <c r="AF28" s="208"/>
      <c r="AG28" s="171"/>
      <c r="AH28" s="164"/>
      <c r="AI28" s="164"/>
      <c r="AJ28" s="165"/>
      <c r="AK28" s="164"/>
      <c r="AL28" s="215"/>
      <c r="AM28" s="217"/>
      <c r="AN28" s="209"/>
      <c r="AO28" s="171"/>
      <c r="AP28" s="215"/>
      <c r="AQ28" s="215"/>
      <c r="AR28" s="216"/>
      <c r="AS28" s="210"/>
      <c r="AT28" s="215"/>
      <c r="AU28" s="217"/>
      <c r="AV28" s="208"/>
      <c r="AW28" s="171"/>
      <c r="AX28" s="213"/>
      <c r="AY28" s="213"/>
      <c r="AZ28" s="214"/>
      <c r="BA28" s="210"/>
      <c r="BB28" s="213"/>
      <c r="BC28" s="208"/>
      <c r="BD28" s="208"/>
      <c r="BE28" s="150"/>
      <c r="BF28" s="213"/>
      <c r="BG28" s="213"/>
      <c r="BH28" s="214"/>
      <c r="BI28" s="213"/>
      <c r="BJ28" s="213"/>
      <c r="BK28" s="295"/>
      <c r="BL28" s="166"/>
      <c r="BM28" s="171"/>
      <c r="BN28" s="278"/>
      <c r="BO28" s="277"/>
      <c r="BP28" s="275"/>
      <c r="BQ28" s="273"/>
      <c r="BR28" s="269"/>
      <c r="BS28" s="279"/>
      <c r="BT28" s="208"/>
      <c r="BU28" s="171"/>
      <c r="BV28" s="213"/>
      <c r="BW28" s="213"/>
      <c r="BX28" s="301"/>
      <c r="BY28" s="266"/>
      <c r="BZ28" s="213"/>
      <c r="CA28" s="302"/>
      <c r="CB28" s="208"/>
      <c r="CC28" s="150"/>
    </row>
    <row r="29" spans="1:81" ht="13.5" thickBot="1">
      <c r="A29" s="126" t="s">
        <v>49</v>
      </c>
      <c r="B29" s="155">
        <v>2023</v>
      </c>
      <c r="C29" s="156" t="s">
        <v>585</v>
      </c>
      <c r="D29" s="160"/>
      <c r="E29" s="160"/>
      <c r="F29" s="161"/>
      <c r="G29" s="155"/>
      <c r="H29" s="162"/>
      <c r="I29" s="163"/>
      <c r="J29" s="194"/>
      <c r="K29" s="194"/>
      <c r="L29" s="194"/>
      <c r="M29" s="194"/>
      <c r="N29" s="266"/>
      <c r="O29" s="292"/>
      <c r="P29" s="208"/>
      <c r="Q29" s="163"/>
      <c r="R29" s="269"/>
      <c r="S29" s="270"/>
      <c r="T29" s="190"/>
      <c r="U29" s="191"/>
      <c r="V29" s="269"/>
      <c r="W29" s="196"/>
      <c r="X29" s="208"/>
      <c r="Y29" s="163"/>
      <c r="Z29" s="194"/>
      <c r="AA29" s="194"/>
      <c r="AB29" s="190"/>
      <c r="AC29" s="191"/>
      <c r="AD29" s="269"/>
      <c r="AE29" s="267"/>
      <c r="AF29" s="208"/>
      <c r="AG29" s="171"/>
      <c r="AH29" s="164"/>
      <c r="AI29" s="164"/>
      <c r="AJ29" s="165"/>
      <c r="AK29" s="164"/>
      <c r="AL29" s="305"/>
      <c r="AM29" s="218"/>
      <c r="AN29" s="166"/>
      <c r="AO29" s="171"/>
      <c r="AP29" s="215"/>
      <c r="AQ29" s="215"/>
      <c r="AR29" s="216"/>
      <c r="AS29" s="210"/>
      <c r="AT29" s="215"/>
      <c r="AU29" s="217"/>
      <c r="AV29" s="208"/>
      <c r="AW29" s="171"/>
      <c r="AX29" s="213"/>
      <c r="AY29" s="213"/>
      <c r="AZ29" s="214"/>
      <c r="BA29" s="212"/>
      <c r="BB29" s="213"/>
      <c r="BC29" s="212"/>
      <c r="BD29" s="208"/>
      <c r="BE29" s="150"/>
      <c r="BF29" s="213"/>
      <c r="BG29" s="213"/>
      <c r="BH29" s="214"/>
      <c r="BI29" s="213"/>
      <c r="BJ29" s="213"/>
      <c r="BK29" s="218"/>
      <c r="BL29" s="166"/>
      <c r="BM29" s="171"/>
      <c r="BN29" s="278"/>
      <c r="BO29" s="277"/>
      <c r="BP29" s="275"/>
      <c r="BQ29" s="273"/>
      <c r="BR29" s="269"/>
      <c r="BS29" s="279"/>
      <c r="BT29" s="208"/>
      <c r="BU29" s="171"/>
      <c r="BV29" s="213"/>
      <c r="BW29" s="213"/>
      <c r="BX29" s="301"/>
      <c r="BY29" s="266"/>
      <c r="BZ29" s="213"/>
      <c r="CA29" s="302"/>
      <c r="CB29" s="208"/>
      <c r="CC29" s="150"/>
    </row>
    <row r="30" spans="1:81" ht="13.5" thickBot="1">
      <c r="A30" s="126" t="s">
        <v>49</v>
      </c>
      <c r="B30" s="155">
        <v>2023</v>
      </c>
      <c r="C30" s="156" t="s">
        <v>586</v>
      </c>
      <c r="D30" s="160"/>
      <c r="E30" s="160"/>
      <c r="F30" s="161"/>
      <c r="G30" s="155"/>
      <c r="H30" s="162"/>
      <c r="I30" s="163"/>
      <c r="J30" s="266"/>
      <c r="K30" s="266"/>
      <c r="L30" s="288"/>
      <c r="M30" s="266"/>
      <c r="N30" s="266"/>
      <c r="O30" s="291"/>
      <c r="P30" s="209"/>
      <c r="Q30" s="163"/>
      <c r="R30" s="269"/>
      <c r="S30" s="270"/>
      <c r="T30" s="190"/>
      <c r="U30" s="193"/>
      <c r="V30" s="269"/>
      <c r="W30" s="192"/>
      <c r="X30" s="209"/>
      <c r="Y30" s="163"/>
      <c r="Z30" s="269"/>
      <c r="AA30" s="270"/>
      <c r="AB30" s="190"/>
      <c r="AC30" s="193"/>
      <c r="AD30" s="269"/>
      <c r="AE30" s="265"/>
      <c r="AF30" s="209"/>
      <c r="AG30" s="171"/>
      <c r="AH30" s="164"/>
      <c r="AI30" s="164"/>
      <c r="AJ30" s="165"/>
      <c r="AK30" s="164"/>
      <c r="AL30" s="215"/>
      <c r="AM30" s="217"/>
      <c r="AN30" s="209"/>
      <c r="AO30" s="171"/>
      <c r="AP30" s="215"/>
      <c r="AQ30" s="215"/>
      <c r="AR30" s="216"/>
      <c r="AS30" s="210"/>
      <c r="AT30" s="215"/>
      <c r="AU30" s="217"/>
      <c r="AV30" s="209"/>
      <c r="AW30" s="171"/>
      <c r="AX30" s="213"/>
      <c r="AY30" s="213"/>
      <c r="AZ30" s="214"/>
      <c r="BA30" s="210"/>
      <c r="BB30" s="213"/>
      <c r="BC30" s="208"/>
      <c r="BD30" s="209"/>
      <c r="BE30" s="150"/>
      <c r="BF30" s="213"/>
      <c r="BG30" s="213"/>
      <c r="BH30" s="214"/>
      <c r="BI30" s="213"/>
      <c r="BJ30" s="296"/>
      <c r="BK30" s="218"/>
      <c r="BL30" s="166"/>
      <c r="BM30" s="171"/>
      <c r="BN30" s="278"/>
      <c r="BO30" s="277"/>
      <c r="BP30" s="275"/>
      <c r="BQ30" s="273"/>
      <c r="BR30" s="269"/>
      <c r="BS30" s="279"/>
      <c r="BT30" s="209"/>
      <c r="BU30" s="171"/>
      <c r="BV30" s="213"/>
      <c r="BW30" s="213"/>
      <c r="BX30" s="301"/>
      <c r="BY30" s="266"/>
      <c r="BZ30" s="213"/>
      <c r="CA30" s="302"/>
      <c r="CB30" s="209"/>
      <c r="CC30" s="150"/>
    </row>
    <row r="31" spans="1:81" ht="13.5" thickBot="1">
      <c r="A31" s="126" t="s">
        <v>434</v>
      </c>
      <c r="B31" s="155">
        <v>2023</v>
      </c>
      <c r="C31" s="156" t="s">
        <v>587</v>
      </c>
      <c r="D31" s="160"/>
      <c r="E31" s="160"/>
      <c r="F31" s="161"/>
      <c r="G31" s="155"/>
      <c r="H31" s="162"/>
      <c r="I31" s="163"/>
      <c r="J31" s="194"/>
      <c r="K31" s="194"/>
      <c r="L31" s="194"/>
      <c r="M31" s="194"/>
      <c r="N31" s="266"/>
      <c r="O31" s="292"/>
      <c r="P31" s="208"/>
      <c r="Q31" s="163"/>
      <c r="R31" s="269"/>
      <c r="S31" s="270"/>
      <c r="T31" s="190"/>
      <c r="U31" s="191"/>
      <c r="V31" s="269"/>
      <c r="W31" s="196"/>
      <c r="X31" s="208"/>
      <c r="Y31" s="163"/>
      <c r="Z31" s="194"/>
      <c r="AA31" s="194"/>
      <c r="AB31" s="190"/>
      <c r="AC31" s="193"/>
      <c r="AD31" s="269"/>
      <c r="AE31" s="266"/>
      <c r="AF31" s="208"/>
      <c r="AG31" s="171"/>
      <c r="AH31" s="164"/>
      <c r="AI31" s="164"/>
      <c r="AJ31" s="165"/>
      <c r="AK31" s="164"/>
      <c r="AL31" s="305"/>
      <c r="AM31" s="218"/>
      <c r="AN31" s="166"/>
      <c r="AO31" s="171"/>
      <c r="AP31" s="215"/>
      <c r="AQ31" s="215"/>
      <c r="AR31" s="216"/>
      <c r="AS31" s="211"/>
      <c r="AT31" s="215"/>
      <c r="AU31" s="218"/>
      <c r="AV31" s="208"/>
      <c r="AW31" s="171"/>
      <c r="AX31" s="213"/>
      <c r="AY31" s="213"/>
      <c r="AZ31" s="214"/>
      <c r="BA31" s="211"/>
      <c r="BB31" s="213"/>
      <c r="BC31" s="206"/>
      <c r="BD31" s="208"/>
      <c r="BE31" s="150"/>
      <c r="BF31" s="213"/>
      <c r="BG31" s="213"/>
      <c r="BH31" s="214"/>
      <c r="BI31" s="213"/>
      <c r="BJ31" s="213"/>
      <c r="BK31" s="218"/>
      <c r="BL31" s="166"/>
      <c r="BM31" s="171"/>
      <c r="BN31" s="278"/>
      <c r="BO31" s="277"/>
      <c r="BP31" s="275"/>
      <c r="BQ31" s="273"/>
      <c r="BR31" s="269"/>
      <c r="BS31" s="279"/>
      <c r="BT31" s="208"/>
      <c r="BU31" s="171"/>
      <c r="BV31" s="213"/>
      <c r="BW31" s="213"/>
      <c r="BX31" s="301"/>
      <c r="BY31" s="300"/>
      <c r="BZ31" s="213"/>
      <c r="CA31" s="303"/>
      <c r="CB31" s="208"/>
      <c r="CC31" s="150"/>
    </row>
    <row r="32" spans="1:81" ht="13.5" thickBot="1">
      <c r="A32" s="126" t="s">
        <v>49</v>
      </c>
      <c r="B32" s="155">
        <v>2023</v>
      </c>
      <c r="C32" s="156" t="s">
        <v>588</v>
      </c>
      <c r="D32" s="160"/>
      <c r="E32" s="160"/>
      <c r="F32" s="161"/>
      <c r="G32" s="155"/>
      <c r="H32" s="162"/>
      <c r="I32" s="163"/>
      <c r="J32" s="194"/>
      <c r="K32" s="194"/>
      <c r="L32" s="194"/>
      <c r="M32" s="194"/>
      <c r="N32" s="266"/>
      <c r="O32" s="292"/>
      <c r="P32" s="208"/>
      <c r="Q32" s="163"/>
      <c r="R32" s="269"/>
      <c r="S32" s="270"/>
      <c r="T32" s="190"/>
      <c r="U32" s="272"/>
      <c r="V32" s="269"/>
      <c r="W32" s="271"/>
      <c r="X32" s="208"/>
      <c r="Y32" s="163"/>
      <c r="Z32" s="194"/>
      <c r="AA32" s="194"/>
      <c r="AB32" s="190"/>
      <c r="AC32" s="193"/>
      <c r="AD32" s="269"/>
      <c r="AE32" s="266"/>
      <c r="AF32" s="208"/>
      <c r="AG32" s="171"/>
      <c r="AH32" s="164"/>
      <c r="AI32" s="164"/>
      <c r="AJ32" s="165"/>
      <c r="AK32" s="164"/>
      <c r="AL32" s="305"/>
      <c r="AM32" s="218"/>
      <c r="AN32" s="166"/>
      <c r="AO32" s="171"/>
      <c r="AP32" s="215"/>
      <c r="AQ32" s="215"/>
      <c r="AR32" s="216"/>
      <c r="AS32" s="211"/>
      <c r="AT32" s="215"/>
      <c r="AU32" s="218"/>
      <c r="AV32" s="208"/>
      <c r="AW32" s="171"/>
      <c r="AX32" s="213"/>
      <c r="AY32" s="213"/>
      <c r="AZ32" s="214"/>
      <c r="BA32" s="212"/>
      <c r="BB32" s="213"/>
      <c r="BC32" s="212"/>
      <c r="BD32" s="208"/>
      <c r="BE32" s="150"/>
      <c r="BF32" s="213"/>
      <c r="BG32" s="213"/>
      <c r="BH32" s="214"/>
      <c r="BI32" s="213"/>
      <c r="BJ32" s="213"/>
      <c r="BK32" s="218"/>
      <c r="BL32" s="166"/>
      <c r="BM32" s="171"/>
      <c r="BN32" s="278"/>
      <c r="BO32" s="277"/>
      <c r="BP32" s="275"/>
      <c r="BQ32" s="273"/>
      <c r="BR32" s="269"/>
      <c r="BS32" s="279"/>
      <c r="BT32" s="208"/>
      <c r="BU32" s="171"/>
      <c r="BV32" s="213"/>
      <c r="BW32" s="213"/>
      <c r="BX32" s="301"/>
      <c r="BY32" s="300"/>
      <c r="BZ32" s="213"/>
      <c r="CA32" s="303"/>
      <c r="CB32" s="208"/>
      <c r="CC32" s="150"/>
    </row>
    <row r="33" spans="1:81" ht="13.5" thickBot="1">
      <c r="A33" s="126" t="s">
        <v>49</v>
      </c>
      <c r="B33" s="155">
        <v>2023</v>
      </c>
      <c r="C33" s="156" t="s">
        <v>589</v>
      </c>
      <c r="D33" s="160"/>
      <c r="E33" s="160"/>
      <c r="F33" s="161"/>
      <c r="G33" s="155"/>
      <c r="H33" s="162"/>
      <c r="I33" s="163"/>
      <c r="J33" s="194"/>
      <c r="K33" s="194"/>
      <c r="L33" s="194"/>
      <c r="M33" s="194"/>
      <c r="N33" s="266"/>
      <c r="O33" s="292"/>
      <c r="P33" s="208"/>
      <c r="Q33" s="163"/>
      <c r="R33" s="269"/>
      <c r="S33" s="270"/>
      <c r="T33" s="190"/>
      <c r="U33" s="191"/>
      <c r="V33" s="269"/>
      <c r="W33" s="196"/>
      <c r="X33" s="208"/>
      <c r="Y33" s="163"/>
      <c r="Z33" s="269"/>
      <c r="AA33" s="270"/>
      <c r="AB33" s="190"/>
      <c r="AC33" s="193"/>
      <c r="AD33" s="269"/>
      <c r="AE33" s="265"/>
      <c r="AF33" s="208"/>
      <c r="AG33" s="171"/>
      <c r="AH33" s="164"/>
      <c r="AI33" s="164"/>
      <c r="AJ33" s="165"/>
      <c r="AK33" s="164"/>
      <c r="AL33" s="305"/>
      <c r="AM33" s="218"/>
      <c r="AN33" s="166"/>
      <c r="AO33" s="171"/>
      <c r="AP33" s="215"/>
      <c r="AQ33" s="215"/>
      <c r="AR33" s="216"/>
      <c r="AS33" s="210"/>
      <c r="AT33" s="215"/>
      <c r="AU33" s="217"/>
      <c r="AV33" s="208"/>
      <c r="AW33" s="171"/>
      <c r="AX33" s="213"/>
      <c r="AY33" s="213"/>
      <c r="AZ33" s="214"/>
      <c r="BA33" s="210"/>
      <c r="BB33" s="213"/>
      <c r="BC33" s="208"/>
      <c r="BD33" s="208"/>
      <c r="BE33" s="150"/>
      <c r="BF33" s="213"/>
      <c r="BG33" s="213"/>
      <c r="BH33" s="214"/>
      <c r="BI33" s="213"/>
      <c r="BJ33" s="213"/>
      <c r="BK33" s="218"/>
      <c r="BL33" s="166"/>
      <c r="BM33" s="171"/>
      <c r="BN33" s="278"/>
      <c r="BO33" s="277"/>
      <c r="BP33" s="275"/>
      <c r="BQ33" s="273"/>
      <c r="BR33" s="269"/>
      <c r="BS33" s="279"/>
      <c r="BT33" s="208"/>
      <c r="BU33" s="171"/>
      <c r="BV33" s="213"/>
      <c r="BW33" s="213"/>
      <c r="BX33" s="301"/>
      <c r="BY33" s="266"/>
      <c r="BZ33" s="213"/>
      <c r="CA33" s="302"/>
      <c r="CB33" s="208"/>
      <c r="CC33" s="150"/>
    </row>
    <row r="34" spans="1:81" ht="13.5" thickBot="1">
      <c r="A34" s="126" t="s">
        <v>49</v>
      </c>
      <c r="B34" s="155">
        <v>2023</v>
      </c>
      <c r="C34" s="156" t="s">
        <v>590</v>
      </c>
      <c r="D34" s="160"/>
      <c r="E34" s="160"/>
      <c r="F34" s="161"/>
      <c r="G34" s="155"/>
      <c r="H34" s="162"/>
      <c r="I34" s="163"/>
      <c r="J34" s="266"/>
      <c r="K34" s="266"/>
      <c r="L34" s="288"/>
      <c r="M34" s="194"/>
      <c r="N34" s="266"/>
      <c r="O34" s="291"/>
      <c r="P34" s="209"/>
      <c r="Q34" s="163"/>
      <c r="R34" s="269"/>
      <c r="S34" s="270"/>
      <c r="T34" s="190"/>
      <c r="U34" s="193"/>
      <c r="V34" s="269"/>
      <c r="W34" s="192"/>
      <c r="X34" s="209"/>
      <c r="Y34" s="163"/>
      <c r="Z34" s="194"/>
      <c r="AA34" s="194"/>
      <c r="AB34" s="190"/>
      <c r="AC34" s="193"/>
      <c r="AD34" s="269"/>
      <c r="AE34" s="266"/>
      <c r="AF34" s="209"/>
      <c r="AG34" s="171"/>
      <c r="AH34" s="164"/>
      <c r="AI34" s="164"/>
      <c r="AJ34" s="165"/>
      <c r="AK34" s="164"/>
      <c r="AL34" s="305"/>
      <c r="AM34" s="218"/>
      <c r="AN34" s="166"/>
      <c r="AO34" s="171"/>
      <c r="AP34" s="215"/>
      <c r="AQ34" s="215"/>
      <c r="AR34" s="216"/>
      <c r="AS34" s="210"/>
      <c r="AT34" s="215"/>
      <c r="AU34" s="217"/>
      <c r="AV34" s="209"/>
      <c r="AW34" s="171"/>
      <c r="AX34" s="213"/>
      <c r="AY34" s="213"/>
      <c r="AZ34" s="214"/>
      <c r="BA34" s="210"/>
      <c r="BB34" s="213"/>
      <c r="BC34" s="208"/>
      <c r="BD34" s="209"/>
      <c r="BE34" s="150"/>
      <c r="BF34" s="213"/>
      <c r="BG34" s="213"/>
      <c r="BH34" s="214"/>
      <c r="BI34" s="213"/>
      <c r="BJ34" s="296"/>
      <c r="BK34" s="290"/>
      <c r="BL34" s="166"/>
      <c r="BM34" s="171"/>
      <c r="BN34" s="281"/>
      <c r="BO34" s="282"/>
      <c r="BP34" s="276"/>
      <c r="BQ34" s="283"/>
      <c r="BR34" s="284"/>
      <c r="BS34" s="285"/>
      <c r="BT34" s="209"/>
      <c r="BU34" s="171"/>
      <c r="BV34" s="213"/>
      <c r="BW34" s="213"/>
      <c r="BX34" s="301"/>
      <c r="BY34" s="266"/>
      <c r="BZ34" s="213"/>
      <c r="CA34" s="302"/>
      <c r="CB34" s="209"/>
      <c r="CC34" s="150"/>
    </row>
    <row r="35" spans="1:81" ht="13.5" thickBot="1">
      <c r="A35" s="126" t="s">
        <v>49</v>
      </c>
      <c r="B35" s="155">
        <v>2023</v>
      </c>
      <c r="C35" s="156" t="s">
        <v>591</v>
      </c>
      <c r="D35" s="160"/>
      <c r="E35" s="160"/>
      <c r="F35" s="161"/>
      <c r="G35" s="155"/>
      <c r="H35" s="162"/>
      <c r="I35" s="163"/>
      <c r="J35" s="194"/>
      <c r="K35" s="194"/>
      <c r="L35" s="194"/>
      <c r="M35" s="194"/>
      <c r="N35" s="266"/>
      <c r="O35" s="292"/>
      <c r="P35" s="208"/>
      <c r="Q35" s="163"/>
      <c r="R35" s="269"/>
      <c r="S35" s="270"/>
      <c r="T35" s="190"/>
      <c r="U35" s="268"/>
      <c r="V35" s="269"/>
      <c r="W35" s="196"/>
      <c r="X35" s="208"/>
      <c r="Y35" s="163"/>
      <c r="Z35" s="194"/>
      <c r="AA35" s="194"/>
      <c r="AB35" s="190"/>
      <c r="AC35" s="193"/>
      <c r="AD35" s="269"/>
      <c r="AE35" s="266"/>
      <c r="AF35" s="208"/>
      <c r="AG35" s="171"/>
      <c r="AH35" s="164"/>
      <c r="AI35" s="164"/>
      <c r="AJ35" s="165"/>
      <c r="AK35" s="164"/>
      <c r="AL35" s="305"/>
      <c r="AM35" s="218"/>
      <c r="AN35" s="166"/>
      <c r="AO35" s="171"/>
      <c r="AP35" s="215"/>
      <c r="AQ35" s="215"/>
      <c r="AR35" s="216"/>
      <c r="AS35" s="211"/>
      <c r="AT35" s="215"/>
      <c r="AU35" s="218"/>
      <c r="AV35" s="208"/>
      <c r="AW35" s="171"/>
      <c r="AX35" s="213"/>
      <c r="AY35" s="213"/>
      <c r="AZ35" s="214"/>
      <c r="BA35" s="211"/>
      <c r="BB35" s="213"/>
      <c r="BC35" s="206"/>
      <c r="BD35" s="208"/>
      <c r="BE35" s="150"/>
      <c r="BF35" s="213"/>
      <c r="BG35" s="213"/>
      <c r="BH35" s="214"/>
      <c r="BI35" s="213"/>
      <c r="BJ35" s="213"/>
      <c r="BK35" s="290"/>
      <c r="BL35" s="166"/>
      <c r="BM35" s="171"/>
      <c r="BN35" s="213"/>
      <c r="BO35" s="213"/>
      <c r="BP35" s="214"/>
      <c r="BQ35" s="211"/>
      <c r="BR35" s="213"/>
      <c r="BS35" s="206"/>
      <c r="BT35" s="208"/>
      <c r="BU35" s="171"/>
      <c r="BV35" s="213"/>
      <c r="BW35" s="213"/>
      <c r="BX35" s="301"/>
      <c r="BY35" s="300"/>
      <c r="BZ35" s="213"/>
      <c r="CA35" s="303"/>
      <c r="CB35" s="208"/>
      <c r="CC35" s="150"/>
    </row>
    <row r="36" spans="1:81" ht="13.5" thickBot="1">
      <c r="A36" s="126" t="s">
        <v>49</v>
      </c>
      <c r="B36" s="155">
        <v>2023</v>
      </c>
      <c r="C36" s="156" t="s">
        <v>592</v>
      </c>
      <c r="D36" s="160"/>
      <c r="E36" s="160"/>
      <c r="F36" s="161"/>
      <c r="G36" s="155"/>
      <c r="H36" s="162"/>
      <c r="I36" s="163"/>
      <c r="J36" s="266"/>
      <c r="K36" s="266"/>
      <c r="L36" s="288"/>
      <c r="M36" s="266"/>
      <c r="N36" s="266"/>
      <c r="O36" s="293"/>
      <c r="P36" s="208"/>
      <c r="Q36" s="163"/>
      <c r="R36" s="269"/>
      <c r="S36" s="270"/>
      <c r="T36" s="190"/>
      <c r="U36" s="193"/>
      <c r="V36" s="269"/>
      <c r="W36" s="192"/>
      <c r="X36" s="208"/>
      <c r="Y36" s="163"/>
      <c r="Z36" s="269"/>
      <c r="AA36" s="270"/>
      <c r="AB36" s="190"/>
      <c r="AC36" s="193"/>
      <c r="AD36" s="269"/>
      <c r="AE36" s="265"/>
      <c r="AF36" s="208"/>
      <c r="AG36" s="171"/>
      <c r="AH36" s="164"/>
      <c r="AI36" s="164"/>
      <c r="AJ36" s="165"/>
      <c r="AK36" s="164"/>
      <c r="AL36" s="305"/>
      <c r="AM36" s="218"/>
      <c r="AN36" s="166"/>
      <c r="AO36" s="171"/>
      <c r="AP36" s="215"/>
      <c r="AQ36" s="215"/>
      <c r="AR36" s="216"/>
      <c r="AS36" s="210"/>
      <c r="AT36" s="215"/>
      <c r="AU36" s="217"/>
      <c r="AV36" s="208"/>
      <c r="AW36" s="171"/>
      <c r="AX36" s="213"/>
      <c r="AY36" s="213"/>
      <c r="AZ36" s="214"/>
      <c r="BA36" s="210"/>
      <c r="BB36" s="213"/>
      <c r="BC36" s="208"/>
      <c r="BD36" s="208"/>
      <c r="BE36" s="150"/>
      <c r="BF36" s="213"/>
      <c r="BG36" s="213"/>
      <c r="BH36" s="214"/>
      <c r="BI36" s="213"/>
      <c r="BJ36" s="213"/>
      <c r="BK36" s="218"/>
      <c r="BL36" s="166"/>
      <c r="BM36" s="171"/>
      <c r="BN36" s="213"/>
      <c r="BO36" s="213"/>
      <c r="BP36" s="214"/>
      <c r="BQ36" s="210"/>
      <c r="BR36" s="213"/>
      <c r="BS36" s="208"/>
      <c r="BT36" s="208"/>
      <c r="BU36" s="171"/>
      <c r="BV36" s="213"/>
      <c r="BW36" s="213"/>
      <c r="BX36" s="301"/>
      <c r="BY36" s="266"/>
      <c r="BZ36" s="213"/>
      <c r="CA36" s="302"/>
      <c r="CB36" s="208"/>
      <c r="CC36" s="150"/>
    </row>
    <row r="37" spans="1:81" ht="13.5" thickBot="1">
      <c r="A37" s="126" t="s">
        <v>49</v>
      </c>
      <c r="B37" s="155">
        <v>2023</v>
      </c>
      <c r="C37" s="156" t="s">
        <v>593</v>
      </c>
      <c r="D37" s="160"/>
      <c r="E37" s="160"/>
      <c r="F37" s="161"/>
      <c r="G37" s="155"/>
      <c r="H37" s="162"/>
      <c r="I37" s="163"/>
      <c r="J37" s="194"/>
      <c r="K37" s="194"/>
      <c r="L37" s="194"/>
      <c r="M37" s="194"/>
      <c r="N37" s="266"/>
      <c r="O37" s="292"/>
      <c r="P37" s="208"/>
      <c r="Q37" s="163"/>
      <c r="R37" s="269"/>
      <c r="S37" s="270"/>
      <c r="T37" s="190"/>
      <c r="U37" s="191"/>
      <c r="V37" s="269"/>
      <c r="W37" s="196"/>
      <c r="X37" s="208"/>
      <c r="Y37" s="163"/>
      <c r="Z37" s="194"/>
      <c r="AA37" s="194"/>
      <c r="AB37" s="190"/>
      <c r="AC37" s="193"/>
      <c r="AD37" s="269"/>
      <c r="AE37" s="266"/>
      <c r="AF37" s="208"/>
      <c r="AG37" s="171"/>
      <c r="AH37" s="164"/>
      <c r="AI37" s="164"/>
      <c r="AJ37" s="165"/>
      <c r="AK37" s="164"/>
      <c r="AL37" s="305"/>
      <c r="AM37" s="218"/>
      <c r="AN37" s="166"/>
      <c r="AO37" s="171"/>
      <c r="AP37" s="215"/>
      <c r="AQ37" s="215"/>
      <c r="AR37" s="216"/>
      <c r="AS37" s="211"/>
      <c r="AT37" s="215"/>
      <c r="AU37" s="218"/>
      <c r="AV37" s="208"/>
      <c r="AW37" s="171"/>
      <c r="AX37" s="213"/>
      <c r="AY37" s="213"/>
      <c r="AZ37" s="214"/>
      <c r="BA37" s="211"/>
      <c r="BB37" s="213"/>
      <c r="BC37" s="206"/>
      <c r="BD37" s="208"/>
      <c r="BE37" s="150"/>
      <c r="BF37" s="213"/>
      <c r="BG37" s="213"/>
      <c r="BH37" s="214"/>
      <c r="BI37" s="213"/>
      <c r="BJ37" s="213"/>
      <c r="BK37" s="218"/>
      <c r="BL37" s="166"/>
      <c r="BM37" s="171"/>
      <c r="BN37" s="213"/>
      <c r="BO37" s="213"/>
      <c r="BP37" s="214"/>
      <c r="BQ37" s="211"/>
      <c r="BR37" s="213"/>
      <c r="BS37" s="206"/>
      <c r="BT37" s="208"/>
      <c r="BU37" s="171"/>
      <c r="BV37" s="213"/>
      <c r="BW37" s="213"/>
      <c r="BX37" s="301"/>
      <c r="BY37" s="300"/>
      <c r="BZ37" s="213"/>
      <c r="CA37" s="303"/>
      <c r="CB37" s="208"/>
      <c r="CC37" s="150"/>
    </row>
    <row r="38" spans="1:81" ht="13.5" thickBot="1">
      <c r="A38" s="126" t="s">
        <v>49</v>
      </c>
      <c r="B38" s="155">
        <v>2023</v>
      </c>
      <c r="C38" s="156" t="s">
        <v>594</v>
      </c>
      <c r="D38" s="160"/>
      <c r="E38" s="160"/>
      <c r="F38" s="161"/>
      <c r="G38" s="155"/>
      <c r="H38" s="162"/>
      <c r="I38" s="163"/>
      <c r="J38" s="194"/>
      <c r="K38" s="194"/>
      <c r="L38" s="194"/>
      <c r="M38" s="194"/>
      <c r="N38" s="266"/>
      <c r="O38" s="291"/>
      <c r="P38" s="209"/>
      <c r="Q38" s="163"/>
      <c r="R38" s="269"/>
      <c r="S38" s="270"/>
      <c r="T38" s="190"/>
      <c r="U38" s="193"/>
      <c r="V38" s="269"/>
      <c r="W38" s="267"/>
      <c r="X38" s="209"/>
      <c r="Y38" s="163"/>
      <c r="Z38" s="194"/>
      <c r="AA38" s="194"/>
      <c r="AB38" s="190"/>
      <c r="AC38" s="193"/>
      <c r="AD38" s="269"/>
      <c r="AE38" s="266"/>
      <c r="AF38" s="209"/>
      <c r="AG38" s="171"/>
      <c r="AH38" s="164"/>
      <c r="AI38" s="164"/>
      <c r="AJ38" s="165"/>
      <c r="AK38" s="164"/>
      <c r="AL38" s="305"/>
      <c r="AM38" s="218"/>
      <c r="AN38" s="166"/>
      <c r="AO38" s="171"/>
      <c r="AP38" s="215"/>
      <c r="AQ38" s="215"/>
      <c r="AR38" s="216"/>
      <c r="AS38" s="210"/>
      <c r="AT38" s="215"/>
      <c r="AU38" s="217"/>
      <c r="AV38" s="209"/>
      <c r="AW38" s="171"/>
      <c r="AX38" s="213"/>
      <c r="AY38" s="213"/>
      <c r="AZ38" s="214"/>
      <c r="BA38" s="210"/>
      <c r="BB38" s="213"/>
      <c r="BC38" s="208"/>
      <c r="BD38" s="209"/>
      <c r="BE38" s="150"/>
      <c r="BF38" s="213"/>
      <c r="BG38" s="213"/>
      <c r="BH38" s="214"/>
      <c r="BI38" s="213"/>
      <c r="BJ38" s="213"/>
      <c r="BK38" s="218"/>
      <c r="BL38" s="166"/>
      <c r="BM38" s="171"/>
      <c r="BN38" s="213"/>
      <c r="BO38" s="213"/>
      <c r="BP38" s="214"/>
      <c r="BQ38" s="210"/>
      <c r="BR38" s="213"/>
      <c r="BS38" s="208"/>
      <c r="BT38" s="209"/>
      <c r="BU38" s="171"/>
      <c r="BV38" s="213"/>
      <c r="BW38" s="213"/>
      <c r="BX38" s="301"/>
      <c r="BY38" s="266"/>
      <c r="BZ38" s="213"/>
      <c r="CA38" s="302"/>
      <c r="CB38" s="209"/>
      <c r="CC38" s="150"/>
    </row>
    <row r="39" spans="1:81" ht="13.5" thickBot="1">
      <c r="A39" s="126" t="s">
        <v>49</v>
      </c>
      <c r="B39" s="155">
        <v>2023</v>
      </c>
      <c r="C39" s="156" t="s">
        <v>595</v>
      </c>
      <c r="D39" s="160"/>
      <c r="E39" s="160"/>
      <c r="F39" s="161"/>
      <c r="G39" s="155"/>
      <c r="H39" s="162"/>
      <c r="I39" s="163"/>
      <c r="J39" s="194"/>
      <c r="K39" s="194"/>
      <c r="L39" s="194"/>
      <c r="M39" s="194"/>
      <c r="N39" s="266"/>
      <c r="O39" s="292"/>
      <c r="P39" s="208"/>
      <c r="Q39" s="163"/>
      <c r="R39" s="269"/>
      <c r="S39" s="270"/>
      <c r="T39" s="190"/>
      <c r="U39" s="191"/>
      <c r="V39" s="269"/>
      <c r="W39" s="196"/>
      <c r="X39" s="208"/>
      <c r="Y39" s="163"/>
      <c r="Z39" s="194"/>
      <c r="AA39" s="194"/>
      <c r="AB39" s="190"/>
      <c r="AC39" s="193"/>
      <c r="AD39" s="269"/>
      <c r="AE39" s="266"/>
      <c r="AF39" s="208"/>
      <c r="AG39" s="171"/>
      <c r="AH39" s="164"/>
      <c r="AI39" s="164"/>
      <c r="AJ39" s="165"/>
      <c r="AK39" s="164"/>
      <c r="AL39" s="305"/>
      <c r="AM39" s="218"/>
      <c r="AN39" s="166"/>
      <c r="AO39" s="171"/>
      <c r="AP39" s="215"/>
      <c r="AQ39" s="215"/>
      <c r="AR39" s="216"/>
      <c r="AS39" s="210"/>
      <c r="AT39" s="215"/>
      <c r="AU39" s="217"/>
      <c r="AV39" s="208"/>
      <c r="AW39" s="171"/>
      <c r="AX39" s="213"/>
      <c r="AY39" s="213"/>
      <c r="AZ39" s="214"/>
      <c r="BA39" s="210"/>
      <c r="BB39" s="213"/>
      <c r="BC39" s="208"/>
      <c r="BD39" s="208"/>
      <c r="BE39" s="150"/>
      <c r="BF39" s="213"/>
      <c r="BG39" s="213"/>
      <c r="BH39" s="214"/>
      <c r="BI39" s="213"/>
      <c r="BJ39" s="213"/>
      <c r="BK39" s="218"/>
      <c r="BL39" s="166"/>
      <c r="BM39" s="171"/>
      <c r="BN39" s="213"/>
      <c r="BO39" s="213"/>
      <c r="BP39" s="214"/>
      <c r="BQ39" s="210"/>
      <c r="BR39" s="213"/>
      <c r="BS39" s="208"/>
      <c r="BT39" s="208"/>
      <c r="BU39" s="171"/>
      <c r="BV39" s="213"/>
      <c r="BW39" s="213"/>
      <c r="BX39" s="301"/>
      <c r="BY39" s="300"/>
      <c r="BZ39" s="213"/>
      <c r="CA39" s="303"/>
      <c r="CB39" s="208"/>
      <c r="CC39" s="150"/>
    </row>
    <row r="40" spans="1:81" ht="13.5" thickBot="1">
      <c r="A40" s="126" t="s">
        <v>49</v>
      </c>
      <c r="B40" s="155">
        <v>2023</v>
      </c>
      <c r="C40" s="156" t="s">
        <v>596</v>
      </c>
      <c r="D40" s="160"/>
      <c r="E40" s="160"/>
      <c r="F40" s="161"/>
      <c r="G40" s="155"/>
      <c r="H40" s="162"/>
      <c r="I40" s="163"/>
      <c r="J40" s="194"/>
      <c r="K40" s="194"/>
      <c r="L40" s="194"/>
      <c r="M40" s="194"/>
      <c r="N40" s="266"/>
      <c r="O40" s="292"/>
      <c r="P40" s="208"/>
      <c r="Q40" s="163"/>
      <c r="R40" s="269"/>
      <c r="S40" s="270"/>
      <c r="T40" s="190"/>
      <c r="U40" s="191"/>
      <c r="V40" s="269"/>
      <c r="W40" s="196"/>
      <c r="X40" s="208"/>
      <c r="Y40" s="163"/>
      <c r="Z40" s="194"/>
      <c r="AA40" s="194"/>
      <c r="AB40" s="190"/>
      <c r="AC40" s="193"/>
      <c r="AD40" s="269"/>
      <c r="AE40" s="266"/>
      <c r="AF40" s="208"/>
      <c r="AG40" s="171"/>
      <c r="AH40" s="164"/>
      <c r="AI40" s="164"/>
      <c r="AJ40" s="165"/>
      <c r="AK40" s="164"/>
      <c r="AL40" s="305"/>
      <c r="AM40" s="218"/>
      <c r="AN40" s="166"/>
      <c r="AO40" s="171"/>
      <c r="AP40" s="215"/>
      <c r="AQ40" s="215"/>
      <c r="AR40" s="216"/>
      <c r="AS40" s="211"/>
      <c r="AT40" s="215"/>
      <c r="AU40" s="218"/>
      <c r="AV40" s="208"/>
      <c r="AW40" s="171"/>
      <c r="AX40" s="213"/>
      <c r="AY40" s="213"/>
      <c r="AZ40" s="214"/>
      <c r="BA40" s="211"/>
      <c r="BB40" s="213"/>
      <c r="BC40" s="206"/>
      <c r="BD40" s="208"/>
      <c r="BE40" s="150"/>
      <c r="BF40" s="213"/>
      <c r="BG40" s="213"/>
      <c r="BH40" s="214"/>
      <c r="BI40" s="213"/>
      <c r="BJ40" s="213"/>
      <c r="BK40" s="295"/>
      <c r="BL40" s="166"/>
      <c r="BM40" s="171"/>
      <c r="BN40" s="213"/>
      <c r="BO40" s="213"/>
      <c r="BP40" s="214"/>
      <c r="BQ40" s="211"/>
      <c r="BR40" s="213"/>
      <c r="BS40" s="206"/>
      <c r="BT40" s="208"/>
      <c r="BU40" s="171"/>
      <c r="BV40" s="213"/>
      <c r="BW40" s="213"/>
      <c r="BX40" s="301"/>
      <c r="BY40" s="300"/>
      <c r="BZ40" s="213"/>
      <c r="CA40" s="303"/>
      <c r="CB40" s="208"/>
      <c r="CC40" s="150"/>
    </row>
    <row r="41" spans="1:81" ht="13.5" thickBot="1">
      <c r="A41" s="126" t="s">
        <v>49</v>
      </c>
      <c r="B41" s="155">
        <v>2023</v>
      </c>
      <c r="C41" s="156" t="s">
        <v>597</v>
      </c>
      <c r="D41" s="160"/>
      <c r="E41" s="160"/>
      <c r="F41" s="161"/>
      <c r="G41" s="155"/>
      <c r="H41" s="162"/>
      <c r="I41" s="163"/>
      <c r="J41" s="266"/>
      <c r="K41" s="266"/>
      <c r="L41" s="288"/>
      <c r="M41" s="266"/>
      <c r="N41" s="266"/>
      <c r="O41" s="291"/>
      <c r="P41" s="208"/>
      <c r="Q41" s="163"/>
      <c r="R41" s="269"/>
      <c r="S41" s="270"/>
      <c r="T41" s="190"/>
      <c r="U41" s="193"/>
      <c r="V41" s="269"/>
      <c r="W41" s="192"/>
      <c r="X41" s="208"/>
      <c r="Y41" s="163"/>
      <c r="Z41" s="269"/>
      <c r="AA41" s="270"/>
      <c r="AB41" s="190"/>
      <c r="AC41" s="193"/>
      <c r="AD41" s="269"/>
      <c r="AE41" s="265"/>
      <c r="AF41" s="208"/>
      <c r="AG41" s="171"/>
      <c r="AH41" s="164"/>
      <c r="AI41" s="164"/>
      <c r="AJ41" s="165"/>
      <c r="AK41" s="164"/>
      <c r="AL41" s="305"/>
      <c r="AM41" s="218"/>
      <c r="AN41" s="166"/>
      <c r="AO41" s="171"/>
      <c r="AP41" s="215"/>
      <c r="AQ41" s="215"/>
      <c r="AR41" s="216"/>
      <c r="AS41" s="210"/>
      <c r="AT41" s="215"/>
      <c r="AU41" s="217"/>
      <c r="AV41" s="208"/>
      <c r="AW41" s="171"/>
      <c r="AX41" s="213"/>
      <c r="AY41" s="213"/>
      <c r="AZ41" s="214"/>
      <c r="BA41" s="210"/>
      <c r="BB41" s="213"/>
      <c r="BC41" s="208"/>
      <c r="BD41" s="208"/>
      <c r="BE41" s="150"/>
      <c r="BF41" s="213"/>
      <c r="BG41" s="213"/>
      <c r="BH41" s="214"/>
      <c r="BI41" s="213"/>
      <c r="BJ41" s="296"/>
      <c r="BK41" s="218"/>
      <c r="BL41" s="166"/>
      <c r="BM41" s="171"/>
      <c r="BN41" s="213"/>
      <c r="BO41" s="213"/>
      <c r="BP41" s="214"/>
      <c r="BQ41" s="210"/>
      <c r="BR41" s="213"/>
      <c r="BS41" s="208"/>
      <c r="BT41" s="208"/>
      <c r="BU41" s="171"/>
      <c r="BV41" s="213"/>
      <c r="BW41" s="213"/>
      <c r="BX41" s="301"/>
      <c r="BY41" s="266"/>
      <c r="BZ41" s="213"/>
      <c r="CA41" s="302"/>
      <c r="CB41" s="208"/>
      <c r="CC41" s="150"/>
    </row>
    <row r="42" spans="1:81" ht="13.5" thickBot="1">
      <c r="A42" s="126" t="s">
        <v>49</v>
      </c>
      <c r="B42" s="155">
        <v>2023</v>
      </c>
      <c r="C42" s="167" t="s">
        <v>558</v>
      </c>
      <c r="D42" s="224"/>
      <c r="E42" s="160"/>
      <c r="F42" s="161"/>
      <c r="G42" s="155"/>
      <c r="H42" s="162"/>
      <c r="I42" s="163"/>
      <c r="J42" s="194"/>
      <c r="K42" s="194"/>
      <c r="L42" s="194"/>
      <c r="M42" s="194"/>
      <c r="N42" s="266"/>
      <c r="O42" s="292"/>
      <c r="P42" s="209"/>
      <c r="Q42" s="163"/>
      <c r="R42" s="269"/>
      <c r="S42" s="270"/>
      <c r="T42" s="190"/>
      <c r="U42" s="193"/>
      <c r="V42" s="269"/>
      <c r="W42" s="192"/>
      <c r="X42" s="209"/>
      <c r="Y42" s="163"/>
      <c r="Z42" s="269"/>
      <c r="AA42" s="270"/>
      <c r="AB42" s="190"/>
      <c r="AC42" s="193"/>
      <c r="AD42" s="269"/>
      <c r="AE42" s="265"/>
      <c r="AF42" s="209"/>
      <c r="AG42" s="171"/>
      <c r="AH42" s="164"/>
      <c r="AI42" s="164"/>
      <c r="AJ42" s="165"/>
      <c r="AK42" s="164"/>
      <c r="AL42" s="305"/>
      <c r="AM42" s="218"/>
      <c r="AN42" s="166"/>
      <c r="AO42" s="171"/>
      <c r="AP42" s="215"/>
      <c r="AQ42" s="215"/>
      <c r="AR42" s="216"/>
      <c r="AS42" s="210"/>
      <c r="AT42" s="215"/>
      <c r="AU42" s="217"/>
      <c r="AV42" s="209"/>
      <c r="AW42" s="171"/>
      <c r="AX42" s="213"/>
      <c r="AY42" s="213"/>
      <c r="AZ42" s="214"/>
      <c r="BA42" s="210"/>
      <c r="BB42" s="213"/>
      <c r="BC42" s="208"/>
      <c r="BD42" s="209"/>
      <c r="BE42" s="150"/>
      <c r="BF42" s="213"/>
      <c r="BG42" s="213"/>
      <c r="BH42" s="214"/>
      <c r="BI42" s="213"/>
      <c r="BJ42" s="213"/>
      <c r="BK42" s="218"/>
      <c r="BL42" s="166"/>
      <c r="BM42" s="171"/>
      <c r="BN42" s="213"/>
      <c r="BO42" s="213"/>
      <c r="BP42" s="214"/>
      <c r="BQ42" s="210"/>
      <c r="BR42" s="213"/>
      <c r="BS42" s="208"/>
      <c r="BT42" s="209"/>
      <c r="BU42" s="171"/>
      <c r="BV42" s="213"/>
      <c r="BW42" s="213"/>
      <c r="BX42" s="301"/>
      <c r="BY42" s="266"/>
      <c r="BZ42" s="213"/>
      <c r="CA42" s="302"/>
      <c r="CB42" s="209"/>
      <c r="CC42" s="150"/>
    </row>
    <row r="43" spans="1:81" ht="13.5" thickBot="1">
      <c r="A43" s="126" t="s">
        <v>49</v>
      </c>
      <c r="B43" s="155">
        <v>2023</v>
      </c>
      <c r="C43" s="156" t="s">
        <v>598</v>
      </c>
      <c r="D43" s="160"/>
      <c r="E43" s="160"/>
      <c r="F43" s="161"/>
      <c r="G43" s="155"/>
      <c r="H43" s="162"/>
      <c r="I43" s="163"/>
      <c r="J43" s="194"/>
      <c r="K43" s="194"/>
      <c r="L43" s="194"/>
      <c r="M43" s="194"/>
      <c r="N43" s="266"/>
      <c r="O43" s="291"/>
      <c r="P43" s="208"/>
      <c r="Q43" s="163"/>
      <c r="R43" s="269"/>
      <c r="S43" s="270"/>
      <c r="T43" s="190"/>
      <c r="U43" s="193"/>
      <c r="V43" s="269"/>
      <c r="W43" s="267"/>
      <c r="X43" s="208"/>
      <c r="Y43" s="163"/>
      <c r="Z43" s="194"/>
      <c r="AA43" s="194"/>
      <c r="AB43" s="190"/>
      <c r="AC43" s="193"/>
      <c r="AD43" s="269"/>
      <c r="AE43" s="266"/>
      <c r="AF43" s="208"/>
      <c r="AG43" s="171"/>
      <c r="AH43" s="164"/>
      <c r="AI43" s="164"/>
      <c r="AJ43" s="165"/>
      <c r="AK43" s="164"/>
      <c r="AL43" s="305"/>
      <c r="AM43" s="218"/>
      <c r="AN43" s="166"/>
      <c r="AO43" s="171"/>
      <c r="AP43" s="215"/>
      <c r="AQ43" s="215"/>
      <c r="AR43" s="216"/>
      <c r="AS43" s="210"/>
      <c r="AT43" s="215"/>
      <c r="AU43" s="217"/>
      <c r="AV43" s="208"/>
      <c r="AW43" s="171"/>
      <c r="AX43" s="213"/>
      <c r="AY43" s="213"/>
      <c r="AZ43" s="214"/>
      <c r="BA43" s="210"/>
      <c r="BB43" s="213"/>
      <c r="BC43" s="208"/>
      <c r="BD43" s="208"/>
      <c r="BE43" s="150"/>
      <c r="BF43" s="213"/>
      <c r="BG43" s="213"/>
      <c r="BH43" s="214"/>
      <c r="BI43" s="213"/>
      <c r="BJ43" s="213"/>
      <c r="BK43" s="218"/>
      <c r="BL43" s="166"/>
      <c r="BM43" s="171"/>
      <c r="BN43" s="213"/>
      <c r="BO43" s="213"/>
      <c r="BP43" s="214"/>
      <c r="BQ43" s="210"/>
      <c r="BR43" s="213"/>
      <c r="BS43" s="208"/>
      <c r="BT43" s="208"/>
      <c r="BU43" s="171"/>
      <c r="BV43" s="213"/>
      <c r="BW43" s="213"/>
      <c r="BX43" s="301"/>
      <c r="BY43" s="300"/>
      <c r="BZ43" s="213"/>
      <c r="CA43" s="303"/>
      <c r="CB43" s="208"/>
      <c r="CC43" s="150"/>
    </row>
    <row r="44" spans="1:81" ht="13.5" thickBot="1">
      <c r="A44" s="126" t="s">
        <v>49</v>
      </c>
      <c r="B44" s="155">
        <v>2023</v>
      </c>
      <c r="C44" s="156" t="s">
        <v>599</v>
      </c>
      <c r="D44" s="160"/>
      <c r="E44" s="160"/>
      <c r="F44" s="161"/>
      <c r="G44" s="155"/>
      <c r="H44" s="162"/>
      <c r="I44" s="163"/>
      <c r="J44" s="266"/>
      <c r="K44" s="266"/>
      <c r="L44" s="288"/>
      <c r="M44" s="266"/>
      <c r="N44" s="266"/>
      <c r="O44" s="293"/>
      <c r="P44" s="208"/>
      <c r="Q44" s="163"/>
      <c r="R44" s="269"/>
      <c r="S44" s="270"/>
      <c r="T44" s="190"/>
      <c r="U44" s="193"/>
      <c r="V44" s="269"/>
      <c r="W44" s="192"/>
      <c r="X44" s="208"/>
      <c r="Y44" s="163"/>
      <c r="Z44" s="269"/>
      <c r="AA44" s="270"/>
      <c r="AB44" s="190"/>
      <c r="AC44" s="193"/>
      <c r="AD44" s="269"/>
      <c r="AE44" s="265"/>
      <c r="AF44" s="208"/>
      <c r="AG44" s="171"/>
      <c r="AH44" s="164"/>
      <c r="AI44" s="164"/>
      <c r="AJ44" s="165"/>
      <c r="AK44" s="164"/>
      <c r="AL44" s="215"/>
      <c r="AM44" s="217"/>
      <c r="AN44" s="209"/>
      <c r="AO44" s="171"/>
      <c r="AP44" s="215"/>
      <c r="AQ44" s="215"/>
      <c r="AR44" s="216"/>
      <c r="AS44" s="210"/>
      <c r="AT44" s="215"/>
      <c r="AU44" s="217"/>
      <c r="AV44" s="208"/>
      <c r="AW44" s="171"/>
      <c r="AX44" s="213"/>
      <c r="AY44" s="213"/>
      <c r="AZ44" s="214"/>
      <c r="BA44" s="210"/>
      <c r="BB44" s="213"/>
      <c r="BC44" s="208"/>
      <c r="BD44" s="208"/>
      <c r="BE44" s="150"/>
      <c r="BF44" s="213"/>
      <c r="BG44" s="213"/>
      <c r="BH44" s="214"/>
      <c r="BI44" s="213"/>
      <c r="BJ44" s="213"/>
      <c r="BK44" s="218"/>
      <c r="BL44" s="166"/>
      <c r="BM44" s="171"/>
      <c r="BN44" s="213"/>
      <c r="BO44" s="213"/>
      <c r="BP44" s="214"/>
      <c r="BQ44" s="210"/>
      <c r="BR44" s="213"/>
      <c r="BS44" s="208"/>
      <c r="BT44" s="208"/>
      <c r="BU44" s="171"/>
      <c r="BV44" s="213"/>
      <c r="BW44" s="213"/>
      <c r="BX44" s="301"/>
      <c r="BY44" s="266"/>
      <c r="BZ44" s="213"/>
      <c r="CA44" s="302"/>
      <c r="CB44" s="208"/>
      <c r="CC44" s="150"/>
    </row>
    <row r="45" spans="1:81" ht="13.5" thickBot="1">
      <c r="A45" s="126" t="s">
        <v>49</v>
      </c>
      <c r="B45" s="155">
        <v>2023</v>
      </c>
      <c r="C45" s="156" t="s">
        <v>600</v>
      </c>
      <c r="D45" s="160"/>
      <c r="E45" s="160"/>
      <c r="F45" s="161"/>
      <c r="G45" s="155"/>
      <c r="H45" s="162"/>
      <c r="I45" s="163"/>
      <c r="J45" s="194"/>
      <c r="K45" s="194"/>
      <c r="L45" s="194"/>
      <c r="M45" s="194"/>
      <c r="N45" s="266"/>
      <c r="O45" s="292"/>
      <c r="P45" s="208"/>
      <c r="Q45" s="163"/>
      <c r="R45" s="269"/>
      <c r="S45" s="270"/>
      <c r="T45" s="190"/>
      <c r="U45" s="272"/>
      <c r="V45" s="269"/>
      <c r="W45" s="271"/>
      <c r="X45" s="208"/>
      <c r="Y45" s="163"/>
      <c r="Z45" s="194"/>
      <c r="AA45" s="194"/>
      <c r="AB45" s="190"/>
      <c r="AC45" s="193"/>
      <c r="AD45" s="269"/>
      <c r="AE45" s="266"/>
      <c r="AF45" s="208"/>
      <c r="AG45" s="171"/>
      <c r="AH45" s="164"/>
      <c r="AI45" s="164"/>
      <c r="AJ45" s="165"/>
      <c r="AK45" s="164"/>
      <c r="AL45" s="305"/>
      <c r="AM45" s="218"/>
      <c r="AN45" s="166"/>
      <c r="AO45" s="171"/>
      <c r="AP45" s="215"/>
      <c r="AQ45" s="215"/>
      <c r="AR45" s="216"/>
      <c r="AS45" s="218"/>
      <c r="AT45" s="215"/>
      <c r="AU45" s="218"/>
      <c r="AV45" s="208"/>
      <c r="AW45" s="171"/>
      <c r="AX45" s="213"/>
      <c r="AY45" s="213"/>
      <c r="AZ45" s="214"/>
      <c r="BA45" s="212"/>
      <c r="BB45" s="213"/>
      <c r="BC45" s="208"/>
      <c r="BD45" s="208"/>
      <c r="BE45" s="150"/>
      <c r="BF45" s="213"/>
      <c r="BG45" s="213"/>
      <c r="BH45" s="214"/>
      <c r="BI45" s="213"/>
      <c r="BJ45" s="213"/>
      <c r="BK45" s="218"/>
      <c r="BL45" s="166"/>
      <c r="BM45" s="171"/>
      <c r="BN45" s="213"/>
      <c r="BO45" s="213"/>
      <c r="BP45" s="214"/>
      <c r="BQ45" s="212"/>
      <c r="BR45" s="213"/>
      <c r="BS45" s="208"/>
      <c r="BT45" s="208"/>
      <c r="BU45" s="171"/>
      <c r="BV45" s="213"/>
      <c r="BW45" s="213"/>
      <c r="BX45" s="301"/>
      <c r="BY45" s="300"/>
      <c r="BZ45" s="213"/>
      <c r="CA45" s="303"/>
      <c r="CB45" s="208"/>
      <c r="CC45" s="150"/>
    </row>
    <row r="46" spans="1:81" ht="13.5" thickBot="1">
      <c r="A46" s="126" t="s">
        <v>49</v>
      </c>
      <c r="B46" s="155">
        <v>2023</v>
      </c>
      <c r="C46" s="156" t="s">
        <v>601</v>
      </c>
      <c r="D46" s="160"/>
      <c r="E46" s="160"/>
      <c r="F46" s="161"/>
      <c r="G46" s="155"/>
      <c r="H46" s="162"/>
      <c r="I46" s="163"/>
      <c r="J46" s="194"/>
      <c r="K46" s="194"/>
      <c r="L46" s="194"/>
      <c r="M46" s="194"/>
      <c r="N46" s="266"/>
      <c r="O46" s="291"/>
      <c r="P46" s="209"/>
      <c r="Q46" s="163"/>
      <c r="R46" s="269"/>
      <c r="S46" s="270"/>
      <c r="T46" s="190"/>
      <c r="U46" s="193"/>
      <c r="V46" s="269"/>
      <c r="W46" s="267"/>
      <c r="X46" s="209"/>
      <c r="Y46" s="163"/>
      <c r="Z46" s="194"/>
      <c r="AA46" s="194"/>
      <c r="AB46" s="190"/>
      <c r="AC46" s="193"/>
      <c r="AD46" s="269"/>
      <c r="AE46" s="266"/>
      <c r="AF46" s="209"/>
      <c r="AG46" s="171"/>
      <c r="AH46" s="164"/>
      <c r="AI46" s="164"/>
      <c r="AJ46" s="165"/>
      <c r="AK46" s="164"/>
      <c r="AL46" s="305"/>
      <c r="AM46" s="218"/>
      <c r="AN46" s="166"/>
      <c r="AO46" s="171"/>
      <c r="AP46" s="215"/>
      <c r="AQ46" s="215"/>
      <c r="AR46" s="216"/>
      <c r="AS46" s="210"/>
      <c r="AT46" s="215"/>
      <c r="AU46" s="217"/>
      <c r="AV46" s="209"/>
      <c r="AW46" s="171"/>
      <c r="AX46" s="213"/>
      <c r="AY46" s="213"/>
      <c r="AZ46" s="214"/>
      <c r="BA46" s="210"/>
      <c r="BB46" s="213"/>
      <c r="BC46" s="208"/>
      <c r="BD46" s="209"/>
      <c r="BE46" s="150"/>
      <c r="BF46" s="213"/>
      <c r="BG46" s="213"/>
      <c r="BH46" s="214"/>
      <c r="BI46" s="213"/>
      <c r="BJ46" s="213"/>
      <c r="BK46" s="295"/>
      <c r="BL46" s="166"/>
      <c r="BM46" s="171"/>
      <c r="BN46" s="213"/>
      <c r="BO46" s="213"/>
      <c r="BP46" s="214"/>
      <c r="BQ46" s="210"/>
      <c r="BR46" s="213"/>
      <c r="BS46" s="208"/>
      <c r="BT46" s="209"/>
      <c r="BU46" s="171"/>
      <c r="BV46" s="213"/>
      <c r="BW46" s="213"/>
      <c r="BX46" s="301"/>
      <c r="BY46" s="266"/>
      <c r="BZ46" s="213"/>
      <c r="CA46" s="302"/>
      <c r="CB46" s="209"/>
      <c r="CC46" s="150"/>
    </row>
    <row r="47" spans="1:81" ht="13.5" thickBot="1">
      <c r="A47" s="126" t="s">
        <v>49</v>
      </c>
      <c r="B47" s="155">
        <v>2023</v>
      </c>
      <c r="C47" s="156" t="s">
        <v>602</v>
      </c>
      <c r="D47" s="160"/>
      <c r="E47" s="160"/>
      <c r="F47" s="161"/>
      <c r="G47" s="155"/>
      <c r="H47" s="162"/>
      <c r="I47" s="163"/>
      <c r="J47" s="266"/>
      <c r="K47" s="266"/>
      <c r="L47" s="288"/>
      <c r="M47" s="266"/>
      <c r="N47" s="266"/>
      <c r="O47" s="293"/>
      <c r="P47" s="208"/>
      <c r="Q47" s="163"/>
      <c r="R47" s="269"/>
      <c r="S47" s="270"/>
      <c r="T47" s="190"/>
      <c r="U47" s="193"/>
      <c r="V47" s="269"/>
      <c r="W47" s="192"/>
      <c r="X47" s="208"/>
      <c r="Y47" s="163"/>
      <c r="Z47" s="269"/>
      <c r="AA47" s="270"/>
      <c r="AB47" s="190"/>
      <c r="AC47" s="193"/>
      <c r="AD47" s="269"/>
      <c r="AE47" s="265"/>
      <c r="AF47" s="208"/>
      <c r="AG47" s="171"/>
      <c r="AH47" s="164"/>
      <c r="AI47" s="164"/>
      <c r="AJ47" s="165"/>
      <c r="AK47" s="164"/>
      <c r="AL47" s="215"/>
      <c r="AM47" s="217"/>
      <c r="AN47" s="209"/>
      <c r="AO47" s="171"/>
      <c r="AP47" s="215"/>
      <c r="AQ47" s="215"/>
      <c r="AR47" s="216"/>
      <c r="AS47" s="210"/>
      <c r="AT47" s="215"/>
      <c r="AU47" s="217"/>
      <c r="AV47" s="208"/>
      <c r="AW47" s="171"/>
      <c r="AX47" s="213"/>
      <c r="AY47" s="213"/>
      <c r="AZ47" s="214"/>
      <c r="BA47" s="210"/>
      <c r="BB47" s="213"/>
      <c r="BC47" s="208"/>
      <c r="BD47" s="208"/>
      <c r="BE47" s="150"/>
      <c r="BF47" s="213"/>
      <c r="BG47" s="213"/>
      <c r="BH47" s="214"/>
      <c r="BI47" s="213"/>
      <c r="BJ47" s="213"/>
      <c r="BK47" s="218"/>
      <c r="BL47" s="166"/>
      <c r="BM47" s="171"/>
      <c r="BN47" s="213"/>
      <c r="BO47" s="213"/>
      <c r="BP47" s="214"/>
      <c r="BQ47" s="210"/>
      <c r="BR47" s="213"/>
      <c r="BS47" s="208"/>
      <c r="BT47" s="208"/>
      <c r="BU47" s="171"/>
      <c r="BV47" s="213"/>
      <c r="BW47" s="213"/>
      <c r="BX47" s="301"/>
      <c r="BY47" s="266"/>
      <c r="BZ47" s="213"/>
      <c r="CA47" s="302"/>
      <c r="CB47" s="208"/>
      <c r="CC47" s="150"/>
    </row>
    <row r="48" spans="1:81" ht="13.5" thickBot="1">
      <c r="A48" s="126" t="s">
        <v>49</v>
      </c>
      <c r="B48" s="155">
        <v>2023</v>
      </c>
      <c r="C48" s="156" t="s">
        <v>603</v>
      </c>
      <c r="D48" s="160"/>
      <c r="E48" s="160"/>
      <c r="F48" s="161"/>
      <c r="G48" s="155"/>
      <c r="H48" s="162"/>
      <c r="I48" s="163"/>
      <c r="J48" s="194"/>
      <c r="K48" s="194"/>
      <c r="L48" s="194"/>
      <c r="M48" s="194"/>
      <c r="N48" s="266"/>
      <c r="O48" s="292"/>
      <c r="P48" s="208"/>
      <c r="Q48" s="163"/>
      <c r="R48" s="269"/>
      <c r="S48" s="270"/>
      <c r="T48" s="190"/>
      <c r="U48" s="191"/>
      <c r="V48" s="269"/>
      <c r="W48" s="196"/>
      <c r="X48" s="208"/>
      <c r="Y48" s="163"/>
      <c r="Z48" s="194"/>
      <c r="AA48" s="194"/>
      <c r="AB48" s="190"/>
      <c r="AC48" s="193"/>
      <c r="AD48" s="269"/>
      <c r="AE48" s="266"/>
      <c r="AF48" s="208"/>
      <c r="AG48" s="171"/>
      <c r="AH48" s="164"/>
      <c r="AI48" s="164"/>
      <c r="AJ48" s="165"/>
      <c r="AK48" s="164"/>
      <c r="AL48" s="305"/>
      <c r="AM48" s="218"/>
      <c r="AN48" s="166"/>
      <c r="AO48" s="171"/>
      <c r="AP48" s="215"/>
      <c r="AQ48" s="215"/>
      <c r="AR48" s="216"/>
      <c r="AS48" s="211"/>
      <c r="AT48" s="215"/>
      <c r="AU48" s="218"/>
      <c r="AV48" s="208"/>
      <c r="AW48" s="171"/>
      <c r="AX48" s="213"/>
      <c r="AY48" s="213"/>
      <c r="AZ48" s="214"/>
      <c r="BA48" s="211"/>
      <c r="BB48" s="213"/>
      <c r="BC48" s="206"/>
      <c r="BD48" s="208"/>
      <c r="BE48" s="150"/>
      <c r="BF48" s="213"/>
      <c r="BG48" s="213"/>
      <c r="BH48" s="214"/>
      <c r="BI48" s="213"/>
      <c r="BJ48" s="213"/>
      <c r="BK48" s="218"/>
      <c r="BL48" s="166"/>
      <c r="BM48" s="171"/>
      <c r="BN48" s="213"/>
      <c r="BO48" s="213"/>
      <c r="BP48" s="214"/>
      <c r="BQ48" s="211"/>
      <c r="BR48" s="213"/>
      <c r="BS48" s="206"/>
      <c r="BT48" s="208"/>
      <c r="BU48" s="171"/>
      <c r="BV48" s="213"/>
      <c r="BW48" s="213"/>
      <c r="BX48" s="301"/>
      <c r="BY48" s="300"/>
      <c r="BZ48" s="213"/>
      <c r="CA48" s="303"/>
      <c r="CB48" s="208"/>
      <c r="CC48" s="150"/>
    </row>
    <row r="49" spans="1:81" ht="13.5" thickBot="1">
      <c r="A49" s="126" t="s">
        <v>49</v>
      </c>
      <c r="B49" s="155">
        <v>2023</v>
      </c>
      <c r="C49" s="156" t="s">
        <v>604</v>
      </c>
      <c r="D49" s="160"/>
      <c r="E49" s="160"/>
      <c r="F49" s="161"/>
      <c r="G49" s="155"/>
      <c r="H49" s="162"/>
      <c r="I49" s="163"/>
      <c r="J49" s="266"/>
      <c r="K49" s="266"/>
      <c r="L49" s="288"/>
      <c r="M49" s="266"/>
      <c r="N49" s="266"/>
      <c r="O49" s="293"/>
      <c r="P49" s="208"/>
      <c r="Q49" s="163"/>
      <c r="R49" s="269"/>
      <c r="S49" s="270"/>
      <c r="T49" s="190"/>
      <c r="U49" s="193"/>
      <c r="V49" s="269"/>
      <c r="W49" s="192"/>
      <c r="X49" s="208"/>
      <c r="Y49" s="163"/>
      <c r="Z49" s="194"/>
      <c r="AA49" s="194"/>
      <c r="AB49" s="190"/>
      <c r="AC49" s="193"/>
      <c r="AD49" s="269"/>
      <c r="AE49" s="266"/>
      <c r="AF49" s="208"/>
      <c r="AG49" s="172"/>
      <c r="AH49" s="158"/>
      <c r="AI49" s="158"/>
      <c r="AJ49" s="159"/>
      <c r="AK49" s="158"/>
      <c r="AL49" s="306"/>
      <c r="AM49" s="218"/>
      <c r="AN49" s="168"/>
      <c r="AO49" s="172"/>
      <c r="AP49" s="215"/>
      <c r="AQ49" s="215"/>
      <c r="AR49" s="216"/>
      <c r="AS49" s="210"/>
      <c r="AT49" s="215"/>
      <c r="AU49" s="217"/>
      <c r="AV49" s="208"/>
      <c r="AW49" s="172"/>
      <c r="AX49" s="213"/>
      <c r="AY49" s="213"/>
      <c r="AZ49" s="214"/>
      <c r="BA49" s="210"/>
      <c r="BB49" s="213"/>
      <c r="BC49" s="208"/>
      <c r="BD49" s="208"/>
      <c r="BE49" s="151"/>
      <c r="BF49" s="213"/>
      <c r="BG49" s="213"/>
      <c r="BH49" s="214"/>
      <c r="BI49" s="213"/>
      <c r="BJ49" s="213"/>
      <c r="BK49" s="218"/>
      <c r="BL49" s="168"/>
      <c r="BM49" s="172"/>
      <c r="BN49" s="213"/>
      <c r="BO49" s="213"/>
      <c r="BP49" s="214"/>
      <c r="BQ49" s="210"/>
      <c r="BR49" s="213"/>
      <c r="BS49" s="208"/>
      <c r="BT49" s="208"/>
      <c r="BU49" s="172"/>
      <c r="BV49" s="213"/>
      <c r="BW49" s="213"/>
      <c r="BX49" s="301"/>
      <c r="BY49" s="266"/>
      <c r="BZ49" s="213"/>
      <c r="CA49" s="302"/>
      <c r="CB49" s="208"/>
      <c r="CC49" s="151"/>
    </row>
    <row r="50" spans="1:81" ht="13.5" thickBot="1">
      <c r="A50" s="126" t="s">
        <v>49</v>
      </c>
      <c r="B50" s="155">
        <v>2023</v>
      </c>
      <c r="C50" s="156" t="s">
        <v>605</v>
      </c>
      <c r="D50" s="160"/>
      <c r="E50" s="160"/>
      <c r="F50" s="161"/>
      <c r="G50" s="155"/>
      <c r="H50" s="162"/>
      <c r="I50" s="163"/>
      <c r="J50" s="194"/>
      <c r="K50" s="194"/>
      <c r="L50" s="194"/>
      <c r="M50" s="194"/>
      <c r="N50" s="266"/>
      <c r="O50" s="292"/>
      <c r="P50" s="209"/>
      <c r="Q50" s="163"/>
      <c r="R50" s="269"/>
      <c r="S50" s="270"/>
      <c r="T50" s="190"/>
      <c r="U50" s="191"/>
      <c r="V50" s="269"/>
      <c r="W50" s="196"/>
      <c r="X50" s="209"/>
      <c r="Y50" s="163"/>
      <c r="Z50" s="194"/>
      <c r="AA50" s="194"/>
      <c r="AB50" s="190"/>
      <c r="AC50" s="193"/>
      <c r="AD50" s="269"/>
      <c r="AE50" s="266"/>
      <c r="AF50" s="209"/>
      <c r="AG50" s="172"/>
      <c r="AH50" s="158"/>
      <c r="AI50" s="158"/>
      <c r="AJ50" s="159"/>
      <c r="AK50" s="158"/>
      <c r="AL50" s="306"/>
      <c r="AM50" s="218"/>
      <c r="AN50" s="168"/>
      <c r="AO50" s="172"/>
      <c r="AP50" s="215"/>
      <c r="AQ50" s="215"/>
      <c r="AR50" s="216"/>
      <c r="AS50" s="211"/>
      <c r="AT50" s="215"/>
      <c r="AU50" s="218"/>
      <c r="AV50" s="209"/>
      <c r="AW50" s="172"/>
      <c r="AX50" s="213"/>
      <c r="AY50" s="213"/>
      <c r="AZ50" s="214"/>
      <c r="BA50" s="211"/>
      <c r="BB50" s="213"/>
      <c r="BC50" s="206"/>
      <c r="BD50" s="209"/>
      <c r="BE50" s="151"/>
      <c r="BF50" s="213"/>
      <c r="BG50" s="213"/>
      <c r="BH50" s="214"/>
      <c r="BI50" s="213"/>
      <c r="BJ50" s="296"/>
      <c r="BK50" s="290"/>
      <c r="BL50" s="168"/>
      <c r="BM50" s="172"/>
      <c r="BN50" s="213"/>
      <c r="BO50" s="213"/>
      <c r="BP50" s="214"/>
      <c r="BQ50" s="211"/>
      <c r="BR50" s="213"/>
      <c r="BS50" s="206"/>
      <c r="BT50" s="209"/>
      <c r="BU50" s="172"/>
      <c r="BV50" s="213"/>
      <c r="BW50" s="213"/>
      <c r="BX50" s="301"/>
      <c r="BY50" s="300"/>
      <c r="BZ50" s="213"/>
      <c r="CA50" s="303"/>
      <c r="CB50" s="209"/>
      <c r="CC50" s="151"/>
    </row>
    <row r="51" spans="1:81" ht="13.5" thickBot="1">
      <c r="A51" s="126" t="s">
        <v>49</v>
      </c>
      <c r="B51" s="155">
        <v>2023</v>
      </c>
      <c r="C51" s="156" t="s">
        <v>606</v>
      </c>
      <c r="D51" s="160"/>
      <c r="E51" s="160"/>
      <c r="F51" s="161"/>
      <c r="G51" s="155"/>
      <c r="H51" s="162"/>
      <c r="I51" s="163"/>
      <c r="J51" s="266"/>
      <c r="K51" s="266"/>
      <c r="L51" s="288"/>
      <c r="M51" s="266"/>
      <c r="N51" s="266"/>
      <c r="O51" s="291"/>
      <c r="P51" s="208"/>
      <c r="Q51" s="163"/>
      <c r="R51" s="269"/>
      <c r="S51" s="270"/>
      <c r="T51" s="190"/>
      <c r="U51" s="193"/>
      <c r="V51" s="269"/>
      <c r="W51" s="192"/>
      <c r="X51" s="208"/>
      <c r="Y51" s="163"/>
      <c r="Z51" s="269"/>
      <c r="AA51" s="270"/>
      <c r="AB51" s="190"/>
      <c r="AC51" s="193"/>
      <c r="AD51" s="269"/>
      <c r="AE51" s="265"/>
      <c r="AF51" s="208"/>
      <c r="AG51" s="172"/>
      <c r="AH51" s="164"/>
      <c r="AI51" s="164"/>
      <c r="AJ51" s="165"/>
      <c r="AK51" s="164"/>
      <c r="AL51" s="215"/>
      <c r="AM51" s="217"/>
      <c r="AN51" s="209"/>
      <c r="AO51" s="172"/>
      <c r="AP51" s="215"/>
      <c r="AQ51" s="215"/>
      <c r="AR51" s="216"/>
      <c r="AS51" s="210"/>
      <c r="AT51" s="215"/>
      <c r="AU51" s="217"/>
      <c r="AV51" s="208"/>
      <c r="AW51" s="172"/>
      <c r="AX51" s="213"/>
      <c r="AY51" s="213"/>
      <c r="AZ51" s="214"/>
      <c r="BA51" s="210"/>
      <c r="BB51" s="213"/>
      <c r="BC51" s="208"/>
      <c r="BD51" s="208"/>
      <c r="BE51" s="151"/>
      <c r="BF51" s="213"/>
      <c r="BG51" s="213"/>
      <c r="BH51" s="214"/>
      <c r="BI51" s="213"/>
      <c r="BJ51" s="213"/>
      <c r="BK51" s="218"/>
      <c r="BL51" s="168"/>
      <c r="BM51" s="172"/>
      <c r="BN51" s="213"/>
      <c r="BO51" s="213"/>
      <c r="BP51" s="214"/>
      <c r="BQ51" s="210"/>
      <c r="BR51" s="213"/>
      <c r="BS51" s="208"/>
      <c r="BT51" s="208"/>
      <c r="BU51" s="172"/>
      <c r="BV51" s="213"/>
      <c r="BW51" s="213"/>
      <c r="BX51" s="301"/>
      <c r="BY51" s="266"/>
      <c r="BZ51" s="213"/>
      <c r="CA51" s="302"/>
      <c r="CB51" s="208"/>
      <c r="CC51" s="151"/>
    </row>
    <row r="52" spans="1:81" ht="13.5" thickBot="1">
      <c r="A52" s="126" t="s">
        <v>49</v>
      </c>
      <c r="B52" s="155">
        <v>2023</v>
      </c>
      <c r="C52" s="156" t="s">
        <v>607</v>
      </c>
      <c r="D52" s="160"/>
      <c r="E52" s="160"/>
      <c r="F52" s="161"/>
      <c r="G52" s="155"/>
      <c r="H52" s="162"/>
      <c r="I52" s="163"/>
      <c r="J52" s="194"/>
      <c r="K52" s="194"/>
      <c r="L52" s="194"/>
      <c r="M52" s="194"/>
      <c r="N52" s="266"/>
      <c r="O52" s="292"/>
      <c r="P52" s="208"/>
      <c r="Q52" s="163"/>
      <c r="R52" s="269"/>
      <c r="S52" s="270"/>
      <c r="T52" s="190"/>
      <c r="U52" s="191"/>
      <c r="V52" s="269"/>
      <c r="W52" s="196"/>
      <c r="X52" s="208"/>
      <c r="Y52" s="163"/>
      <c r="Z52" s="194"/>
      <c r="AA52" s="194"/>
      <c r="AB52" s="190"/>
      <c r="AC52" s="193"/>
      <c r="AD52" s="269"/>
      <c r="AE52" s="266"/>
      <c r="AF52" s="208"/>
      <c r="AG52" s="172"/>
      <c r="AH52" s="158"/>
      <c r="AI52" s="158"/>
      <c r="AJ52" s="159"/>
      <c r="AK52" s="158"/>
      <c r="AL52" s="306"/>
      <c r="AM52" s="218"/>
      <c r="AN52" s="168"/>
      <c r="AO52" s="172"/>
      <c r="AP52" s="215"/>
      <c r="AQ52" s="215"/>
      <c r="AR52" s="216"/>
      <c r="AS52" s="211"/>
      <c r="AT52" s="215"/>
      <c r="AU52" s="218"/>
      <c r="AV52" s="208"/>
      <c r="AW52" s="172"/>
      <c r="AX52" s="213"/>
      <c r="AY52" s="213"/>
      <c r="AZ52" s="214"/>
      <c r="BA52" s="211"/>
      <c r="BB52" s="213"/>
      <c r="BC52" s="206"/>
      <c r="BD52" s="208"/>
      <c r="BE52" s="151"/>
      <c r="BF52" s="213"/>
      <c r="BG52" s="213"/>
      <c r="BH52" s="214"/>
      <c r="BI52" s="213"/>
      <c r="BJ52" s="213"/>
      <c r="BK52" s="218"/>
      <c r="BL52" s="168"/>
      <c r="BM52" s="172"/>
      <c r="BN52" s="213"/>
      <c r="BO52" s="213"/>
      <c r="BP52" s="214"/>
      <c r="BQ52" s="211"/>
      <c r="BR52" s="213"/>
      <c r="BS52" s="206"/>
      <c r="BT52" s="208"/>
      <c r="BU52" s="172"/>
      <c r="BV52" s="213"/>
      <c r="BW52" s="213"/>
      <c r="BX52" s="301"/>
      <c r="BY52" s="300"/>
      <c r="BZ52" s="213"/>
      <c r="CA52" s="303"/>
      <c r="CB52" s="208"/>
      <c r="CC52" s="151"/>
    </row>
    <row r="53" spans="1:81" ht="13.5" thickBot="1">
      <c r="A53" s="126" t="s">
        <v>49</v>
      </c>
      <c r="B53" s="155">
        <v>2023</v>
      </c>
      <c r="C53" s="156" t="s">
        <v>608</v>
      </c>
      <c r="D53" s="160"/>
      <c r="E53" s="160"/>
      <c r="F53" s="161"/>
      <c r="G53" s="155"/>
      <c r="H53" s="162"/>
      <c r="I53" s="163"/>
      <c r="J53" s="194"/>
      <c r="K53" s="194"/>
      <c r="L53" s="194"/>
      <c r="M53" s="194"/>
      <c r="N53" s="266"/>
      <c r="O53" s="291"/>
      <c r="P53" s="208"/>
      <c r="Q53" s="163"/>
      <c r="R53" s="269"/>
      <c r="S53" s="270"/>
      <c r="T53" s="190"/>
      <c r="U53" s="191"/>
      <c r="V53" s="269"/>
      <c r="W53" s="196"/>
      <c r="X53" s="208"/>
      <c r="Y53" s="163"/>
      <c r="Z53" s="194"/>
      <c r="AA53" s="194"/>
      <c r="AB53" s="190"/>
      <c r="AC53" s="193"/>
      <c r="AD53" s="269"/>
      <c r="AE53" s="266"/>
      <c r="AF53" s="208"/>
      <c r="AG53" s="172"/>
      <c r="AH53" s="158"/>
      <c r="AI53" s="158"/>
      <c r="AJ53" s="159"/>
      <c r="AK53" s="158"/>
      <c r="AL53" s="306"/>
      <c r="AM53" s="218"/>
      <c r="AN53" s="168"/>
      <c r="AO53" s="172"/>
      <c r="AP53" s="215"/>
      <c r="AQ53" s="215"/>
      <c r="AR53" s="216"/>
      <c r="AS53" s="210"/>
      <c r="AT53" s="215"/>
      <c r="AU53" s="217"/>
      <c r="AV53" s="208"/>
      <c r="AW53" s="172"/>
      <c r="AX53" s="213"/>
      <c r="AY53" s="213"/>
      <c r="AZ53" s="214"/>
      <c r="BA53" s="210"/>
      <c r="BB53" s="213"/>
      <c r="BC53" s="208"/>
      <c r="BD53" s="208"/>
      <c r="BE53" s="151"/>
      <c r="BF53" s="213"/>
      <c r="BG53" s="213"/>
      <c r="BH53" s="214"/>
      <c r="BI53" s="213"/>
      <c r="BJ53" s="213"/>
      <c r="BK53" s="218"/>
      <c r="BL53" s="168"/>
      <c r="BM53" s="172"/>
      <c r="BN53" s="213"/>
      <c r="BO53" s="213"/>
      <c r="BP53" s="214"/>
      <c r="BQ53" s="210"/>
      <c r="BR53" s="213"/>
      <c r="BS53" s="208"/>
      <c r="BT53" s="208"/>
      <c r="BU53" s="172"/>
      <c r="BV53" s="213"/>
      <c r="BW53" s="213"/>
      <c r="BX53" s="301"/>
      <c r="BY53" s="266"/>
      <c r="BZ53" s="213"/>
      <c r="CA53" s="302"/>
      <c r="CB53" s="208"/>
      <c r="CC53" s="151"/>
    </row>
    <row r="54" spans="1:81" ht="13.5" thickBot="1">
      <c r="A54" s="126" t="s">
        <v>49</v>
      </c>
      <c r="B54" s="155">
        <v>2023</v>
      </c>
      <c r="C54" s="156" t="s">
        <v>609</v>
      </c>
      <c r="D54" s="160"/>
      <c r="E54" s="160"/>
      <c r="F54" s="161"/>
      <c r="G54" s="155"/>
      <c r="H54" s="162"/>
      <c r="I54" s="163"/>
      <c r="J54" s="194"/>
      <c r="K54" s="194"/>
      <c r="L54" s="194"/>
      <c r="M54" s="194"/>
      <c r="N54" s="266"/>
      <c r="O54" s="292"/>
      <c r="P54" s="209"/>
      <c r="Q54" s="163"/>
      <c r="R54" s="269"/>
      <c r="S54" s="270"/>
      <c r="T54" s="190"/>
      <c r="U54" s="191"/>
      <c r="V54" s="269"/>
      <c r="W54" s="196"/>
      <c r="X54" s="209"/>
      <c r="Y54" s="163"/>
      <c r="Z54" s="194"/>
      <c r="AA54" s="194"/>
      <c r="AB54" s="190"/>
      <c r="AC54" s="193"/>
      <c r="AD54" s="269"/>
      <c r="AE54" s="266"/>
      <c r="AF54" s="209"/>
      <c r="AG54" s="172"/>
      <c r="AH54" s="158"/>
      <c r="AI54" s="158"/>
      <c r="AJ54" s="159"/>
      <c r="AK54" s="158"/>
      <c r="AL54" s="306"/>
      <c r="AM54" s="218"/>
      <c r="AN54" s="168"/>
      <c r="AO54" s="172"/>
      <c r="AP54" s="215"/>
      <c r="AQ54" s="215"/>
      <c r="AR54" s="216"/>
      <c r="AS54" s="211"/>
      <c r="AT54" s="215"/>
      <c r="AU54" s="218"/>
      <c r="AV54" s="209"/>
      <c r="AW54" s="172"/>
      <c r="AX54" s="213"/>
      <c r="AY54" s="213"/>
      <c r="AZ54" s="214"/>
      <c r="BA54" s="211"/>
      <c r="BB54" s="213"/>
      <c r="BC54" s="206"/>
      <c r="BD54" s="209"/>
      <c r="BE54" s="151"/>
      <c r="BF54" s="213"/>
      <c r="BG54" s="213"/>
      <c r="BH54" s="214"/>
      <c r="BI54" s="213"/>
      <c r="BJ54" s="296"/>
      <c r="BK54" s="290"/>
      <c r="BL54" s="168"/>
      <c r="BM54" s="172"/>
      <c r="BN54" s="213"/>
      <c r="BO54" s="213"/>
      <c r="BP54" s="214"/>
      <c r="BQ54" s="211"/>
      <c r="BR54" s="213"/>
      <c r="BS54" s="206"/>
      <c r="BT54" s="209"/>
      <c r="BU54" s="172"/>
      <c r="BV54" s="213"/>
      <c r="BW54" s="213"/>
      <c r="BX54" s="301"/>
      <c r="BY54" s="300"/>
      <c r="BZ54" s="213"/>
      <c r="CA54" s="303"/>
      <c r="CB54" s="209"/>
      <c r="CC54" s="151"/>
    </row>
    <row r="55" spans="1:81" ht="13.5" thickBot="1">
      <c r="A55" s="126" t="s">
        <v>49</v>
      </c>
      <c r="B55" s="155">
        <v>2023</v>
      </c>
      <c r="C55" s="156" t="s">
        <v>610</v>
      </c>
      <c r="D55" s="160"/>
      <c r="E55" s="160"/>
      <c r="F55" s="161"/>
      <c r="G55" s="155"/>
      <c r="H55" s="162"/>
      <c r="I55" s="163"/>
      <c r="J55" s="266"/>
      <c r="K55" s="266"/>
      <c r="L55" s="288"/>
      <c r="M55" s="266"/>
      <c r="N55" s="266"/>
      <c r="O55" s="293"/>
      <c r="P55" s="208"/>
      <c r="Q55" s="163"/>
      <c r="R55" s="269"/>
      <c r="S55" s="270"/>
      <c r="T55" s="190"/>
      <c r="U55" s="193"/>
      <c r="V55" s="269"/>
      <c r="W55" s="192"/>
      <c r="X55" s="208"/>
      <c r="Y55" s="163"/>
      <c r="Z55" s="269"/>
      <c r="AA55" s="270"/>
      <c r="AB55" s="190"/>
      <c r="AC55" s="193"/>
      <c r="AD55" s="269"/>
      <c r="AE55" s="265"/>
      <c r="AF55" s="208"/>
      <c r="AG55" s="172"/>
      <c r="AH55" s="164"/>
      <c r="AI55" s="164"/>
      <c r="AJ55" s="165"/>
      <c r="AK55" s="164"/>
      <c r="AL55" s="215"/>
      <c r="AM55" s="217"/>
      <c r="AN55" s="209"/>
      <c r="AO55" s="172"/>
      <c r="AP55" s="215"/>
      <c r="AQ55" s="215"/>
      <c r="AR55" s="216"/>
      <c r="AS55" s="210"/>
      <c r="AT55" s="215"/>
      <c r="AU55" s="217"/>
      <c r="AV55" s="208"/>
      <c r="AW55" s="172"/>
      <c r="AX55" s="213"/>
      <c r="AY55" s="213"/>
      <c r="AZ55" s="214"/>
      <c r="BA55" s="210"/>
      <c r="BB55" s="213"/>
      <c r="BC55" s="208"/>
      <c r="BD55" s="208"/>
      <c r="BE55" s="151"/>
      <c r="BF55" s="213"/>
      <c r="BG55" s="213"/>
      <c r="BH55" s="214"/>
      <c r="BI55" s="213"/>
      <c r="BJ55" s="213"/>
      <c r="BK55" s="218"/>
      <c r="BL55" s="168"/>
      <c r="BM55" s="172"/>
      <c r="BN55" s="213"/>
      <c r="BO55" s="213"/>
      <c r="BP55" s="214"/>
      <c r="BQ55" s="210"/>
      <c r="BR55" s="213"/>
      <c r="BS55" s="208"/>
      <c r="BT55" s="208"/>
      <c r="BU55" s="172"/>
      <c r="BV55" s="213"/>
      <c r="BW55" s="213"/>
      <c r="BX55" s="301"/>
      <c r="BY55" s="266"/>
      <c r="BZ55" s="213"/>
      <c r="CA55" s="302"/>
      <c r="CB55" s="208"/>
      <c r="CC55" s="151"/>
    </row>
    <row r="56" spans="1:81" ht="13.5" thickBot="1">
      <c r="A56" s="126" t="s">
        <v>49</v>
      </c>
      <c r="B56" s="155">
        <v>2023</v>
      </c>
      <c r="C56" s="156" t="s">
        <v>611</v>
      </c>
      <c r="D56" s="160"/>
      <c r="E56" s="160"/>
      <c r="F56" s="161"/>
      <c r="G56" s="155"/>
      <c r="H56" s="162"/>
      <c r="I56" s="163"/>
      <c r="J56" s="266"/>
      <c r="K56" s="266"/>
      <c r="L56" s="288"/>
      <c r="M56" s="266"/>
      <c r="N56" s="266"/>
      <c r="O56" s="291"/>
      <c r="P56" s="208"/>
      <c r="Q56" s="163"/>
      <c r="R56" s="269"/>
      <c r="S56" s="270"/>
      <c r="T56" s="190"/>
      <c r="U56" s="193"/>
      <c r="V56" s="269"/>
      <c r="W56" s="192"/>
      <c r="X56" s="208"/>
      <c r="Y56" s="163"/>
      <c r="Z56" s="269"/>
      <c r="AA56" s="270"/>
      <c r="AB56" s="190"/>
      <c r="AC56" s="193"/>
      <c r="AD56" s="269"/>
      <c r="AE56" s="265"/>
      <c r="AF56" s="208"/>
      <c r="AG56" s="172"/>
      <c r="AH56" s="158"/>
      <c r="AI56" s="158"/>
      <c r="AJ56" s="159"/>
      <c r="AK56" s="158"/>
      <c r="AL56" s="306"/>
      <c r="AM56" s="217"/>
      <c r="AN56" s="168"/>
      <c r="AO56" s="172"/>
      <c r="AP56" s="215"/>
      <c r="AQ56" s="215"/>
      <c r="AR56" s="216"/>
      <c r="AS56" s="210"/>
      <c r="AT56" s="215"/>
      <c r="AU56" s="217"/>
      <c r="AV56" s="208"/>
      <c r="AW56" s="172"/>
      <c r="AX56" s="213"/>
      <c r="AY56" s="213"/>
      <c r="AZ56" s="214"/>
      <c r="BA56" s="210"/>
      <c r="BB56" s="213"/>
      <c r="BC56" s="208"/>
      <c r="BD56" s="208"/>
      <c r="BE56" s="151"/>
      <c r="BF56" s="213"/>
      <c r="BG56" s="213"/>
      <c r="BH56" s="214"/>
      <c r="BI56" s="213"/>
      <c r="BJ56" s="213"/>
      <c r="BK56" s="218"/>
      <c r="BL56" s="168"/>
      <c r="BM56" s="172"/>
      <c r="BN56" s="213"/>
      <c r="BO56" s="213"/>
      <c r="BP56" s="214"/>
      <c r="BQ56" s="210"/>
      <c r="BR56" s="213"/>
      <c r="BS56" s="208"/>
      <c r="BT56" s="208"/>
      <c r="BU56" s="172"/>
      <c r="BV56" s="213"/>
      <c r="BW56" s="213"/>
      <c r="BX56" s="301"/>
      <c r="BY56" s="266"/>
      <c r="BZ56" s="213"/>
      <c r="CA56" s="302"/>
      <c r="CB56" s="208"/>
      <c r="CC56" s="151"/>
    </row>
    <row r="57" spans="1:81" ht="13.5" thickBot="1">
      <c r="A57" s="126" t="s">
        <v>49</v>
      </c>
      <c r="B57" s="155">
        <v>2023</v>
      </c>
      <c r="C57" s="156" t="s">
        <v>612</v>
      </c>
      <c r="D57" s="160"/>
      <c r="E57" s="160"/>
      <c r="F57" s="161"/>
      <c r="G57" s="155"/>
      <c r="H57" s="162"/>
      <c r="I57" s="163"/>
      <c r="J57" s="266"/>
      <c r="K57" s="266"/>
      <c r="L57" s="288"/>
      <c r="M57" s="266"/>
      <c r="N57" s="266"/>
      <c r="O57" s="294"/>
      <c r="P57" s="208"/>
      <c r="Q57" s="163"/>
      <c r="R57" s="269"/>
      <c r="S57" s="270"/>
      <c r="T57" s="190"/>
      <c r="U57" s="191"/>
      <c r="V57" s="269"/>
      <c r="W57" s="196"/>
      <c r="X57" s="208"/>
      <c r="Y57" s="163"/>
      <c r="Z57" s="194"/>
      <c r="AA57" s="194"/>
      <c r="AB57" s="190"/>
      <c r="AC57" s="193"/>
      <c r="AD57" s="269"/>
      <c r="AE57" s="266"/>
      <c r="AF57" s="208"/>
      <c r="AG57" s="172"/>
      <c r="AH57" s="158"/>
      <c r="AI57" s="158"/>
      <c r="AJ57" s="159"/>
      <c r="AK57" s="158"/>
      <c r="AL57" s="306"/>
      <c r="AM57" s="218"/>
      <c r="AN57" s="168"/>
      <c r="AO57" s="172"/>
      <c r="AP57" s="215"/>
      <c r="AQ57" s="215"/>
      <c r="AR57" s="216"/>
      <c r="AS57" s="210"/>
      <c r="AT57" s="215"/>
      <c r="AU57" s="217"/>
      <c r="AV57" s="208"/>
      <c r="AW57" s="172"/>
      <c r="AX57" s="213"/>
      <c r="AY57" s="213"/>
      <c r="AZ57" s="214"/>
      <c r="BA57" s="210"/>
      <c r="BB57" s="213"/>
      <c r="BC57" s="208"/>
      <c r="BD57" s="208"/>
      <c r="BE57" s="151"/>
      <c r="BF57" s="213"/>
      <c r="BG57" s="213"/>
      <c r="BH57" s="214"/>
      <c r="BI57" s="213"/>
      <c r="BJ57" s="296"/>
      <c r="BK57" s="290"/>
      <c r="BL57" s="168"/>
      <c r="BM57" s="172"/>
      <c r="BN57" s="213"/>
      <c r="BO57" s="213"/>
      <c r="BP57" s="214"/>
      <c r="BQ57" s="210"/>
      <c r="BR57" s="213"/>
      <c r="BS57" s="208"/>
      <c r="BT57" s="208"/>
      <c r="BU57" s="172"/>
      <c r="BV57" s="213"/>
      <c r="BW57" s="213"/>
      <c r="BX57" s="301"/>
      <c r="BY57" s="300"/>
      <c r="BZ57" s="213"/>
      <c r="CA57" s="303"/>
      <c r="CB57" s="208"/>
      <c r="CC57" s="151"/>
    </row>
    <row r="58" spans="1:81" ht="13.5" thickBot="1">
      <c r="A58" s="126" t="s">
        <v>49</v>
      </c>
      <c r="B58" s="155">
        <v>2023</v>
      </c>
      <c r="C58" s="156" t="s">
        <v>613</v>
      </c>
      <c r="D58" s="160"/>
      <c r="E58" s="160"/>
      <c r="F58" s="161"/>
      <c r="G58" s="155"/>
      <c r="H58" s="162"/>
      <c r="I58" s="163"/>
      <c r="J58" s="194"/>
      <c r="K58" s="194"/>
      <c r="L58" s="194"/>
      <c r="M58" s="194"/>
      <c r="N58" s="266"/>
      <c r="O58" s="292"/>
      <c r="P58" s="209"/>
      <c r="Q58" s="163"/>
      <c r="R58" s="269"/>
      <c r="S58" s="270"/>
      <c r="T58" s="190"/>
      <c r="U58" s="193"/>
      <c r="V58" s="269"/>
      <c r="W58" s="192"/>
      <c r="X58" s="209"/>
      <c r="Y58" s="163"/>
      <c r="Z58" s="269"/>
      <c r="AA58" s="270"/>
      <c r="AB58" s="190"/>
      <c r="AC58" s="193"/>
      <c r="AD58" s="269"/>
      <c r="AE58" s="265"/>
      <c r="AF58" s="209"/>
      <c r="AG58" s="172"/>
      <c r="AH58" s="158"/>
      <c r="AI58" s="158"/>
      <c r="AJ58" s="159"/>
      <c r="AK58" s="158"/>
      <c r="AL58" s="306"/>
      <c r="AM58" s="217"/>
      <c r="AN58" s="168"/>
      <c r="AO58" s="172"/>
      <c r="AP58" s="215"/>
      <c r="AQ58" s="215"/>
      <c r="AR58" s="216"/>
      <c r="AS58" s="210"/>
      <c r="AT58" s="215"/>
      <c r="AU58" s="217"/>
      <c r="AV58" s="209"/>
      <c r="AW58" s="172"/>
      <c r="AX58" s="213"/>
      <c r="AY58" s="213"/>
      <c r="AZ58" s="214"/>
      <c r="BA58" s="210"/>
      <c r="BB58" s="213"/>
      <c r="BC58" s="209"/>
      <c r="BD58" s="209"/>
      <c r="BE58" s="151"/>
      <c r="BF58" s="213"/>
      <c r="BG58" s="213"/>
      <c r="BH58" s="214"/>
      <c r="BI58" s="213"/>
      <c r="BJ58" s="213"/>
      <c r="BK58" s="218"/>
      <c r="BL58" s="168"/>
      <c r="BM58" s="172"/>
      <c r="BN58" s="213"/>
      <c r="BO58" s="213"/>
      <c r="BP58" s="214"/>
      <c r="BQ58" s="210"/>
      <c r="BR58" s="213"/>
      <c r="BS58" s="209"/>
      <c r="BT58" s="209"/>
      <c r="BU58" s="172"/>
      <c r="BV58" s="213"/>
      <c r="BW58" s="213"/>
      <c r="BX58" s="301"/>
      <c r="BY58" s="266"/>
      <c r="BZ58" s="213"/>
      <c r="CA58" s="302"/>
      <c r="CB58" s="209"/>
      <c r="CC58" s="151"/>
    </row>
    <row r="59" spans="1:81">
      <c r="A59" s="19"/>
      <c r="B59" s="20"/>
      <c r="C59" s="21"/>
      <c r="D59" s="221"/>
      <c r="E59" s="131"/>
      <c r="F59" s="22"/>
      <c r="G59" s="20"/>
      <c r="H59" s="46"/>
      <c r="I59" s="95"/>
      <c r="Q59" s="95"/>
      <c r="Y59" s="95"/>
    </row>
    <row r="60" spans="1:81">
      <c r="A60" s="19"/>
      <c r="B60" s="20"/>
      <c r="C60" s="21"/>
      <c r="D60" s="221"/>
      <c r="E60" s="131"/>
      <c r="F60" s="22"/>
      <c r="G60" s="20"/>
      <c r="H60" s="46"/>
      <c r="I60" s="95"/>
      <c r="Q60" s="95"/>
      <c r="Y60" s="95"/>
    </row>
    <row r="61" spans="1:81">
      <c r="A61" s="19"/>
      <c r="B61" s="20"/>
      <c r="C61" s="21"/>
      <c r="D61" s="221"/>
      <c r="E61" s="131"/>
      <c r="F61" s="22"/>
      <c r="G61" s="20"/>
      <c r="H61" s="46"/>
      <c r="I61" s="95"/>
      <c r="Q61" s="95"/>
      <c r="Y61" s="95"/>
    </row>
    <row r="62" spans="1:81">
      <c r="A62" s="19"/>
      <c r="B62" s="20"/>
      <c r="C62" s="21"/>
      <c r="D62" s="221"/>
      <c r="E62" s="131"/>
      <c r="F62" s="22"/>
      <c r="G62" s="20"/>
      <c r="H62" s="46"/>
      <c r="I62" s="95"/>
      <c r="Q62" s="95"/>
      <c r="Y62" s="95"/>
    </row>
    <row r="63" spans="1:81">
      <c r="A63" s="19"/>
      <c r="B63" s="20"/>
      <c r="C63" s="21"/>
      <c r="D63" s="221"/>
      <c r="E63" s="131"/>
      <c r="F63" s="22"/>
      <c r="G63" s="20"/>
      <c r="H63" s="46"/>
      <c r="I63" s="95"/>
      <c r="Q63" s="95"/>
      <c r="Y63" s="95"/>
    </row>
    <row r="64" spans="1:81">
      <c r="A64" s="19"/>
      <c r="B64" s="20"/>
      <c r="C64" s="21"/>
      <c r="D64" s="221"/>
      <c r="E64" s="131"/>
      <c r="F64" s="22"/>
      <c r="G64" s="20"/>
      <c r="H64" s="46"/>
      <c r="I64" s="95"/>
      <c r="Q64" s="95"/>
      <c r="Y64" s="95"/>
    </row>
    <row r="65" spans="1:25">
      <c r="A65" s="19"/>
      <c r="B65" s="20"/>
      <c r="C65" s="21"/>
      <c r="D65" s="221"/>
      <c r="E65" s="131"/>
      <c r="F65" s="22"/>
      <c r="G65" s="20"/>
      <c r="H65" s="46"/>
      <c r="I65" s="95"/>
      <c r="Q65" s="95"/>
      <c r="Y65" s="95"/>
    </row>
    <row r="66" spans="1:25">
      <c r="A66" s="19"/>
      <c r="B66" s="20"/>
      <c r="C66" s="21"/>
      <c r="D66" s="221"/>
      <c r="E66" s="131"/>
      <c r="F66" s="22"/>
      <c r="G66" s="20"/>
      <c r="H66" s="46"/>
      <c r="I66" s="95"/>
      <c r="Q66" s="95"/>
      <c r="Y66" s="95"/>
    </row>
    <row r="67" spans="1:25">
      <c r="A67" s="19"/>
      <c r="B67" s="20"/>
      <c r="C67" s="21"/>
      <c r="D67" s="221"/>
      <c r="E67" s="131"/>
      <c r="F67" s="22"/>
      <c r="G67" s="20"/>
      <c r="H67" s="46"/>
      <c r="I67" s="95"/>
      <c r="Q67" s="95"/>
      <c r="Y67" s="95"/>
    </row>
    <row r="68" spans="1:25">
      <c r="A68" s="19"/>
      <c r="B68" s="20"/>
      <c r="C68" s="21"/>
      <c r="D68" s="221"/>
      <c r="E68" s="131"/>
      <c r="F68" s="22"/>
      <c r="G68" s="20"/>
      <c r="H68" s="46"/>
      <c r="I68" s="95"/>
      <c r="Q68" s="95"/>
      <c r="Y68" s="95"/>
    </row>
    <row r="71" spans="1:25">
      <c r="B71" s="9" t="s">
        <v>48</v>
      </c>
    </row>
    <row r="74" spans="1:25">
      <c r="A74" s="6">
        <f>COUNTIF(A3:A68,"SI")</f>
        <v>54</v>
      </c>
    </row>
  </sheetData>
  <mergeCells count="9">
    <mergeCell ref="BF1:BK1"/>
    <mergeCell ref="BN1:BS1"/>
    <mergeCell ref="BV1:CA1"/>
    <mergeCell ref="J1:O1"/>
    <mergeCell ref="AX1:BC1"/>
    <mergeCell ref="AP1:AU1"/>
    <mergeCell ref="AH1:AM1"/>
    <mergeCell ref="Z1:AE1"/>
    <mergeCell ref="R1:W1"/>
  </mergeCells>
  <conditionalFormatting sqref="A2:A68">
    <cfRule type="cellIs" dxfId="298" priority="228" stopIfTrue="1" operator="equal">
      <formula>"SI"</formula>
    </cfRule>
    <cfRule type="cellIs" dxfId="297" priority="229" stopIfTrue="1" operator="equal">
      <formula>"NO"</formula>
    </cfRule>
  </conditionalFormatting>
  <conditionalFormatting sqref="W27:W35 O24:O33 W22:W25 O8:O20 AN6:AO9 AM2:AO2 W2:X2 O2:P2 O59:P1048576 W59:X1048576 BC2:BE1048576 AU2:AW1048576 AE2:AG58 W37:W58 W3:W20 O3:O4 O40:O58 AO10 AO24 AO47 AO55 AN4:AO4 AO3 AO15:AO16 AO18 AO26:AO28 AO30 AO51 AM53:AO54 AM57:AO57 AM48:AO50 AM45:AO46 AM31:AO33 AM29:AO29 AM25:AO25 AM19:AO19 AM17:AO17 AM11:AO14 AN52:AO52 AN56:AO56 AM59:AO1048576 AN58:AO58">
    <cfRule type="containsText" dxfId="296" priority="161" operator="containsText" text="Equiv">
      <formula>NOT(ISERROR(SEARCH("Equiv",O2)))</formula>
    </cfRule>
    <cfRule type="cellIs" dxfId="295" priority="225" operator="equal">
      <formula>"Regular"</formula>
    </cfRule>
    <cfRule type="cellIs" dxfId="294" priority="226" operator="equal">
      <formula>"Prom"</formula>
    </cfRule>
    <cfRule type="cellIs" dxfId="293" priority="227" operator="equal">
      <formula>"Libre"</formula>
    </cfRule>
  </conditionalFormatting>
  <conditionalFormatting sqref="W26">
    <cfRule type="cellIs" dxfId="292" priority="222" operator="equal">
      <formula>"Regular"</formula>
    </cfRule>
    <cfRule type="cellIs" dxfId="291" priority="223" operator="equal">
      <formula>"Prom"</formula>
    </cfRule>
    <cfRule type="cellIs" dxfId="290" priority="224" operator="equal">
      <formula>"Libre"</formula>
    </cfRule>
  </conditionalFormatting>
  <conditionalFormatting sqref="W36">
    <cfRule type="cellIs" dxfId="289" priority="219" operator="equal">
      <formula>"Regular"</formula>
    </cfRule>
    <cfRule type="cellIs" dxfId="288" priority="220" operator="equal">
      <formula>"Prom"</formula>
    </cfRule>
    <cfRule type="cellIs" dxfId="287" priority="221" operator="equal">
      <formula>"Libre"</formula>
    </cfRule>
  </conditionalFormatting>
  <conditionalFormatting sqref="O5 O35 O22">
    <cfRule type="cellIs" dxfId="286" priority="216" operator="equal">
      <formula>"Regular"</formula>
    </cfRule>
    <cfRule type="cellIs" dxfId="285" priority="217" operator="equal">
      <formula>"Prom"</formula>
    </cfRule>
    <cfRule type="cellIs" dxfId="284" priority="218" operator="equal">
      <formula>"Libre"</formula>
    </cfRule>
  </conditionalFormatting>
  <conditionalFormatting sqref="O23">
    <cfRule type="cellIs" dxfId="283" priority="213" operator="equal">
      <formula>"Regular"</formula>
    </cfRule>
    <cfRule type="cellIs" dxfId="282" priority="214" operator="equal">
      <formula>"Prom"</formula>
    </cfRule>
    <cfRule type="cellIs" dxfId="281" priority="215" operator="equal">
      <formula>"Libre"</formula>
    </cfRule>
  </conditionalFormatting>
  <conditionalFormatting sqref="O34">
    <cfRule type="cellIs" dxfId="280" priority="210" operator="equal">
      <formula>"Regular"</formula>
    </cfRule>
    <cfRule type="cellIs" dxfId="279" priority="211" operator="equal">
      <formula>"Prom"</formula>
    </cfRule>
    <cfRule type="cellIs" dxfId="278" priority="212" operator="equal">
      <formula>"Libre"</formula>
    </cfRule>
  </conditionalFormatting>
  <conditionalFormatting sqref="O37">
    <cfRule type="cellIs" dxfId="277" priority="207" operator="equal">
      <formula>"Regular"</formula>
    </cfRule>
    <cfRule type="cellIs" dxfId="276" priority="208" operator="equal">
      <formula>"Prom"</formula>
    </cfRule>
    <cfRule type="cellIs" dxfId="275" priority="209" operator="equal">
      <formula>"Libre"</formula>
    </cfRule>
  </conditionalFormatting>
  <conditionalFormatting sqref="O38">
    <cfRule type="cellIs" dxfId="274" priority="204" operator="equal">
      <formula>"Regular"</formula>
    </cfRule>
    <cfRule type="cellIs" dxfId="273" priority="205" operator="equal">
      <formula>"Prom"</formula>
    </cfRule>
    <cfRule type="cellIs" dxfId="272" priority="206" operator="equal">
      <formula>"Libre"</formula>
    </cfRule>
  </conditionalFormatting>
  <conditionalFormatting sqref="O6">
    <cfRule type="cellIs" dxfId="271" priority="201" operator="equal">
      <formula>"Regular"</formula>
    </cfRule>
    <cfRule type="cellIs" dxfId="270" priority="202" operator="equal">
      <formula>"Prom"</formula>
    </cfRule>
    <cfRule type="cellIs" dxfId="269" priority="203" operator="equal">
      <formula>"Libre"</formula>
    </cfRule>
  </conditionalFormatting>
  <conditionalFormatting sqref="O7">
    <cfRule type="cellIs" dxfId="268" priority="198" operator="equal">
      <formula>"Regular"</formula>
    </cfRule>
    <cfRule type="cellIs" dxfId="267" priority="199" operator="equal">
      <formula>"Prom"</formula>
    </cfRule>
    <cfRule type="cellIs" dxfId="266" priority="200" operator="equal">
      <formula>"Libre"</formula>
    </cfRule>
  </conditionalFormatting>
  <conditionalFormatting sqref="O36">
    <cfRule type="cellIs" dxfId="265" priority="195" operator="equal">
      <formula>"Regular"</formula>
    </cfRule>
    <cfRule type="cellIs" dxfId="264" priority="196" operator="equal">
      <formula>"Prom"</formula>
    </cfRule>
    <cfRule type="cellIs" dxfId="263" priority="197" operator="equal">
      <formula>"Libre"</formula>
    </cfRule>
  </conditionalFormatting>
  <conditionalFormatting sqref="AN5:AO5 AO22 AN35:AO35 AO44 AN39:AO43">
    <cfRule type="cellIs" dxfId="262" priority="192" operator="equal">
      <formula>"Regular"</formula>
    </cfRule>
    <cfRule type="cellIs" dxfId="261" priority="193" operator="equal">
      <formula>"Prom"</formula>
    </cfRule>
    <cfRule type="cellIs" dxfId="260" priority="194" operator="equal">
      <formula>"Libre"</formula>
    </cfRule>
  </conditionalFormatting>
  <conditionalFormatting sqref="AN20:AO20">
    <cfRule type="cellIs" dxfId="259" priority="189" operator="equal">
      <formula>"Regular"</formula>
    </cfRule>
    <cfRule type="cellIs" dxfId="258" priority="190" operator="equal">
      <formula>"Prom"</formula>
    </cfRule>
    <cfRule type="cellIs" dxfId="257" priority="191" operator="equal">
      <formula>"Libre"</formula>
    </cfRule>
  </conditionalFormatting>
  <conditionalFormatting sqref="AN34:AO34">
    <cfRule type="cellIs" dxfId="256" priority="186" operator="equal">
      <formula>"Regular"</formula>
    </cfRule>
    <cfRule type="cellIs" dxfId="255" priority="187" operator="equal">
      <formula>"Prom"</formula>
    </cfRule>
    <cfRule type="cellIs" dxfId="254" priority="188" operator="equal">
      <formula>"Libre"</formula>
    </cfRule>
  </conditionalFormatting>
  <conditionalFormatting sqref="AN37:AO37">
    <cfRule type="cellIs" dxfId="253" priority="183" operator="equal">
      <formula>"Regular"</formula>
    </cfRule>
    <cfRule type="cellIs" dxfId="252" priority="184" operator="equal">
      <formula>"Prom"</formula>
    </cfRule>
    <cfRule type="cellIs" dxfId="251" priority="185" operator="equal">
      <formula>"Libre"</formula>
    </cfRule>
  </conditionalFormatting>
  <conditionalFormatting sqref="AN38:AO38">
    <cfRule type="cellIs" dxfId="250" priority="180" operator="equal">
      <formula>"Regular"</formula>
    </cfRule>
    <cfRule type="cellIs" dxfId="249" priority="181" operator="equal">
      <formula>"Prom"</formula>
    </cfRule>
    <cfRule type="cellIs" dxfId="248" priority="182" operator="equal">
      <formula>"Libre"</formula>
    </cfRule>
  </conditionalFormatting>
  <conditionalFormatting sqref="AN21:AO21">
    <cfRule type="cellIs" dxfId="247" priority="177" operator="equal">
      <formula>"Regular"</formula>
    </cfRule>
    <cfRule type="cellIs" dxfId="246" priority="178" operator="equal">
      <formula>"Prom"</formula>
    </cfRule>
    <cfRule type="cellIs" dxfId="245" priority="179" operator="equal">
      <formula>"Libre"</formula>
    </cfRule>
  </conditionalFormatting>
  <conditionalFormatting sqref="W21">
    <cfRule type="cellIs" dxfId="244" priority="174" operator="equal">
      <formula>"Regular"</formula>
    </cfRule>
    <cfRule type="cellIs" dxfId="243" priority="175" operator="equal">
      <formula>"Prom"</formula>
    </cfRule>
    <cfRule type="cellIs" dxfId="242" priority="176" operator="equal">
      <formula>"Libre"</formula>
    </cfRule>
  </conditionalFormatting>
  <conditionalFormatting sqref="O21">
    <cfRule type="cellIs" dxfId="241" priority="171" operator="equal">
      <formula>"Regular"</formula>
    </cfRule>
    <cfRule type="cellIs" dxfId="240" priority="172" operator="equal">
      <formula>"Prom"</formula>
    </cfRule>
    <cfRule type="cellIs" dxfId="239" priority="173" operator="equal">
      <formula>"Libre"</formula>
    </cfRule>
  </conditionalFormatting>
  <conditionalFormatting sqref="O39">
    <cfRule type="cellIs" dxfId="238" priority="168" operator="equal">
      <formula>"Regular"</formula>
    </cfRule>
    <cfRule type="cellIs" dxfId="237" priority="169" operator="equal">
      <formula>"Prom"</formula>
    </cfRule>
    <cfRule type="cellIs" dxfId="236" priority="170" operator="equal">
      <formula>"Libre"</formula>
    </cfRule>
  </conditionalFormatting>
  <conditionalFormatting sqref="AN23:AO23">
    <cfRule type="cellIs" dxfId="235" priority="165" operator="equal">
      <formula>"Regular"</formula>
    </cfRule>
    <cfRule type="cellIs" dxfId="234" priority="166" operator="equal">
      <formula>"Prom"</formula>
    </cfRule>
    <cfRule type="cellIs" dxfId="233" priority="167" operator="equal">
      <formula>"Libre"</formula>
    </cfRule>
  </conditionalFormatting>
  <conditionalFormatting sqref="AN36:AO36">
    <cfRule type="cellIs" dxfId="232" priority="162" operator="equal">
      <formula>"Regular"</formula>
    </cfRule>
    <cfRule type="cellIs" dxfId="231" priority="163" operator="equal">
      <formula>"Prom"</formula>
    </cfRule>
    <cfRule type="cellIs" dxfId="230" priority="164" operator="equal">
      <formula>"Libre"</formula>
    </cfRule>
  </conditionalFormatting>
  <conditionalFormatting sqref="BK24:BM33 BK6:BM19 BK2:BM4 CA59:CC1048576 BK45:BM1048576 BS2:BU2 BS59:BU1048576 BS3:BS58 BU3:BU58 CA3:CA58 CC2:CC58">
    <cfRule type="containsText" dxfId="229" priority="133" operator="containsText" text="Equiv">
      <formula>NOT(ISERROR(SEARCH("Equiv",BK2)))</formula>
    </cfRule>
    <cfRule type="cellIs" dxfId="228" priority="158" operator="equal">
      <formula>"Regular"</formula>
    </cfRule>
    <cfRule type="cellIs" dxfId="227" priority="159" operator="equal">
      <formula>"Prom"</formula>
    </cfRule>
    <cfRule type="cellIs" dxfId="226" priority="160" operator="equal">
      <formula>"Libre"</formula>
    </cfRule>
  </conditionalFormatting>
  <conditionalFormatting sqref="BK5:BM5 BK22:BM22 BK35:BM35 BK39:BM44">
    <cfRule type="cellIs" dxfId="225" priority="155" operator="equal">
      <formula>"Regular"</formula>
    </cfRule>
    <cfRule type="cellIs" dxfId="224" priority="156" operator="equal">
      <formula>"Prom"</formula>
    </cfRule>
    <cfRule type="cellIs" dxfId="223" priority="157" operator="equal">
      <formula>"Libre"</formula>
    </cfRule>
  </conditionalFormatting>
  <conditionalFormatting sqref="BK20:BM20">
    <cfRule type="cellIs" dxfId="222" priority="152" operator="equal">
      <formula>"Regular"</formula>
    </cfRule>
    <cfRule type="cellIs" dxfId="221" priority="153" operator="equal">
      <formula>"Prom"</formula>
    </cfRule>
    <cfRule type="cellIs" dxfId="220" priority="154" operator="equal">
      <formula>"Libre"</formula>
    </cfRule>
  </conditionalFormatting>
  <conditionalFormatting sqref="BK34:BM34">
    <cfRule type="cellIs" dxfId="219" priority="149" operator="equal">
      <formula>"Regular"</formula>
    </cfRule>
    <cfRule type="cellIs" dxfId="218" priority="150" operator="equal">
      <formula>"Prom"</formula>
    </cfRule>
    <cfRule type="cellIs" dxfId="217" priority="151" operator="equal">
      <formula>"Libre"</formula>
    </cfRule>
  </conditionalFormatting>
  <conditionalFormatting sqref="BK37:BM37">
    <cfRule type="cellIs" dxfId="216" priority="146" operator="equal">
      <formula>"Regular"</formula>
    </cfRule>
    <cfRule type="cellIs" dxfId="215" priority="147" operator="equal">
      <formula>"Prom"</formula>
    </cfRule>
    <cfRule type="cellIs" dxfId="214" priority="148" operator="equal">
      <formula>"Libre"</formula>
    </cfRule>
  </conditionalFormatting>
  <conditionalFormatting sqref="BK38:BM38">
    <cfRule type="cellIs" dxfId="213" priority="143" operator="equal">
      <formula>"Regular"</formula>
    </cfRule>
    <cfRule type="cellIs" dxfId="212" priority="144" operator="equal">
      <formula>"Prom"</formula>
    </cfRule>
    <cfRule type="cellIs" dxfId="211" priority="145" operator="equal">
      <formula>"Libre"</formula>
    </cfRule>
  </conditionalFormatting>
  <conditionalFormatting sqref="BK21:BM21">
    <cfRule type="cellIs" dxfId="210" priority="140" operator="equal">
      <formula>"Regular"</formula>
    </cfRule>
    <cfRule type="cellIs" dxfId="209" priority="141" operator="equal">
      <formula>"Prom"</formula>
    </cfRule>
    <cfRule type="cellIs" dxfId="208" priority="142" operator="equal">
      <formula>"Libre"</formula>
    </cfRule>
  </conditionalFormatting>
  <conditionalFormatting sqref="BK23:BM23">
    <cfRule type="cellIs" dxfId="207" priority="137" operator="equal">
      <formula>"Regular"</formula>
    </cfRule>
    <cfRule type="cellIs" dxfId="206" priority="138" operator="equal">
      <formula>"Prom"</formula>
    </cfRule>
    <cfRule type="cellIs" dxfId="205" priority="139" operator="equal">
      <formula>"Libre"</formula>
    </cfRule>
  </conditionalFormatting>
  <conditionalFormatting sqref="BK36:BM36">
    <cfRule type="cellIs" dxfId="204" priority="134" operator="equal">
      <formula>"Regular"</formula>
    </cfRule>
    <cfRule type="cellIs" dxfId="203" priority="135" operator="equal">
      <formula>"Prom"</formula>
    </cfRule>
    <cfRule type="cellIs" dxfId="202" priority="136" operator="equal">
      <formula>"Libre"</formula>
    </cfRule>
  </conditionalFormatting>
  <conditionalFormatting sqref="CA2:CB2">
    <cfRule type="containsText" dxfId="201" priority="129" operator="containsText" text="Equiv">
      <formula>NOT(ISERROR(SEARCH("Equiv",CA2)))</formula>
    </cfRule>
    <cfRule type="cellIs" dxfId="200" priority="130" operator="equal">
      <formula>"Regular"</formula>
    </cfRule>
    <cfRule type="cellIs" dxfId="199" priority="131" operator="equal">
      <formula>"Prom"</formula>
    </cfRule>
    <cfRule type="cellIs" dxfId="198" priority="132" operator="equal">
      <formula>"Libre"</formula>
    </cfRule>
  </conditionalFormatting>
  <conditionalFormatting sqref="AS45">
    <cfRule type="containsText" dxfId="197" priority="125" operator="containsText" text="Equiv">
      <formula>NOT(ISERROR(SEARCH("Equiv",AS45)))</formula>
    </cfRule>
    <cfRule type="cellIs" dxfId="196" priority="126" operator="equal">
      <formula>"Regular"</formula>
    </cfRule>
    <cfRule type="cellIs" dxfId="195" priority="127" operator="equal">
      <formula>"Prom"</formula>
    </cfRule>
    <cfRule type="cellIs" dxfId="194" priority="128" operator="equal">
      <formula>"Libre"</formula>
    </cfRule>
  </conditionalFormatting>
  <conditionalFormatting sqref="X3:X58">
    <cfRule type="containsText" dxfId="193" priority="121" operator="containsText" text="Equiv">
      <formula>NOT(ISERROR(SEARCH("Equiv",X3)))</formula>
    </cfRule>
    <cfRule type="cellIs" dxfId="192" priority="122" operator="equal">
      <formula>"Regular"</formula>
    </cfRule>
    <cfRule type="cellIs" dxfId="191" priority="123" operator="equal">
      <formula>"Prom"</formula>
    </cfRule>
    <cfRule type="cellIs" dxfId="190" priority="124" operator="equal">
      <formula>"Libre"</formula>
    </cfRule>
  </conditionalFormatting>
  <conditionalFormatting sqref="BT3:BT58">
    <cfRule type="containsText" dxfId="189" priority="117" operator="containsText" text="Equiv">
      <formula>NOT(ISERROR(SEARCH("Equiv",BT3)))</formula>
    </cfRule>
    <cfRule type="cellIs" dxfId="188" priority="118" operator="equal">
      <formula>"Regular"</formula>
    </cfRule>
    <cfRule type="cellIs" dxfId="187" priority="119" operator="equal">
      <formula>"Prom"</formula>
    </cfRule>
    <cfRule type="cellIs" dxfId="186" priority="120" operator="equal">
      <formula>"Libre"</formula>
    </cfRule>
  </conditionalFormatting>
  <conditionalFormatting sqref="P3:P58">
    <cfRule type="containsText" dxfId="185" priority="113" operator="containsText" text="Equiv">
      <formula>NOT(ISERROR(SEARCH("Equiv",P3)))</formula>
    </cfRule>
    <cfRule type="cellIs" dxfId="184" priority="114" operator="equal">
      <formula>"Regular"</formula>
    </cfRule>
    <cfRule type="cellIs" dxfId="183" priority="115" operator="equal">
      <formula>"Prom"</formula>
    </cfRule>
    <cfRule type="cellIs" dxfId="182" priority="116" operator="equal">
      <formula>"Libre"</formula>
    </cfRule>
  </conditionalFormatting>
  <conditionalFormatting sqref="CB3:CB58">
    <cfRule type="containsText" dxfId="181" priority="109" operator="containsText" text="Equiv">
      <formula>NOT(ISERROR(SEARCH("Equiv",CB3)))</formula>
    </cfRule>
    <cfRule type="cellIs" dxfId="180" priority="110" operator="equal">
      <formula>"Regular"</formula>
    </cfRule>
    <cfRule type="cellIs" dxfId="179" priority="111" operator="equal">
      <formula>"Prom"</formula>
    </cfRule>
    <cfRule type="cellIs" dxfId="178" priority="112" operator="equal">
      <formula>"Libre"</formula>
    </cfRule>
  </conditionalFormatting>
  <conditionalFormatting sqref="AN10">
    <cfRule type="containsText" dxfId="177" priority="105" operator="containsText" text="Equiv">
      <formula>NOT(ISERROR(SEARCH("Equiv",AN10)))</formula>
    </cfRule>
    <cfRule type="cellIs" dxfId="176" priority="106" operator="equal">
      <formula>"Regular"</formula>
    </cfRule>
    <cfRule type="cellIs" dxfId="175" priority="107" operator="equal">
      <formula>"Prom"</formula>
    </cfRule>
    <cfRule type="cellIs" dxfId="174" priority="108" operator="equal">
      <formula>"Libre"</formula>
    </cfRule>
  </conditionalFormatting>
  <conditionalFormatting sqref="AN24">
    <cfRule type="containsText" dxfId="173" priority="101" operator="containsText" text="Equiv">
      <formula>NOT(ISERROR(SEARCH("Equiv",AN24)))</formula>
    </cfRule>
    <cfRule type="cellIs" dxfId="172" priority="102" operator="equal">
      <formula>"Regular"</formula>
    </cfRule>
    <cfRule type="cellIs" dxfId="171" priority="103" operator="equal">
      <formula>"Prom"</formula>
    </cfRule>
    <cfRule type="cellIs" dxfId="170" priority="104" operator="equal">
      <formula>"Libre"</formula>
    </cfRule>
  </conditionalFormatting>
  <conditionalFormatting sqref="AN27">
    <cfRule type="containsText" dxfId="169" priority="97" operator="containsText" text="Equiv">
      <formula>NOT(ISERROR(SEARCH("Equiv",AN27)))</formula>
    </cfRule>
    <cfRule type="cellIs" dxfId="168" priority="98" operator="equal">
      <formula>"Regular"</formula>
    </cfRule>
    <cfRule type="cellIs" dxfId="167" priority="99" operator="equal">
      <formula>"Prom"</formula>
    </cfRule>
    <cfRule type="cellIs" dxfId="166" priority="100" operator="equal">
      <formula>"Libre"</formula>
    </cfRule>
  </conditionalFormatting>
  <conditionalFormatting sqref="AN28">
    <cfRule type="containsText" dxfId="165" priority="93" operator="containsText" text="Equiv">
      <formula>NOT(ISERROR(SEARCH("Equiv",AN28)))</formula>
    </cfRule>
    <cfRule type="cellIs" dxfId="164" priority="94" operator="equal">
      <formula>"Regular"</formula>
    </cfRule>
    <cfRule type="cellIs" dxfId="163" priority="95" operator="equal">
      <formula>"Prom"</formula>
    </cfRule>
    <cfRule type="cellIs" dxfId="162" priority="96" operator="equal">
      <formula>"Libre"</formula>
    </cfRule>
  </conditionalFormatting>
  <conditionalFormatting sqref="AN47">
    <cfRule type="containsText" dxfId="161" priority="89" operator="containsText" text="Equiv">
      <formula>NOT(ISERROR(SEARCH("Equiv",AN47)))</formula>
    </cfRule>
    <cfRule type="cellIs" dxfId="160" priority="90" operator="equal">
      <formula>"Regular"</formula>
    </cfRule>
    <cfRule type="cellIs" dxfId="159" priority="91" operator="equal">
      <formula>"Prom"</formula>
    </cfRule>
    <cfRule type="cellIs" dxfId="158" priority="92" operator="equal">
      <formula>"Libre"</formula>
    </cfRule>
  </conditionalFormatting>
  <conditionalFormatting sqref="AN55">
    <cfRule type="containsText" dxfId="157" priority="85" operator="containsText" text="Equiv">
      <formula>NOT(ISERROR(SEARCH("Equiv",AN55)))</formula>
    </cfRule>
    <cfRule type="cellIs" dxfId="156" priority="86" operator="equal">
      <formula>"Regular"</formula>
    </cfRule>
    <cfRule type="cellIs" dxfId="155" priority="87" operator="equal">
      <formula>"Prom"</formula>
    </cfRule>
    <cfRule type="cellIs" dxfId="154" priority="88" operator="equal">
      <formula>"Libre"</formula>
    </cfRule>
  </conditionalFormatting>
  <conditionalFormatting sqref="AM3:AN3">
    <cfRule type="containsText" dxfId="153" priority="81" operator="containsText" text="Equiv">
      <formula>NOT(ISERROR(SEARCH("Equiv",AM3)))</formula>
    </cfRule>
    <cfRule type="cellIs" dxfId="152" priority="82" operator="equal">
      <formula>"Regular"</formula>
    </cfRule>
    <cfRule type="cellIs" dxfId="151" priority="83" operator="equal">
      <formula>"Prom"</formula>
    </cfRule>
    <cfRule type="cellIs" dxfId="150" priority="84" operator="equal">
      <formula>"Libre"</formula>
    </cfRule>
  </conditionalFormatting>
  <conditionalFormatting sqref="AN15">
    <cfRule type="containsText" dxfId="149" priority="77" operator="containsText" text="Equiv">
      <formula>NOT(ISERROR(SEARCH("Equiv",AN15)))</formula>
    </cfRule>
    <cfRule type="cellIs" dxfId="148" priority="78" operator="equal">
      <formula>"Regular"</formula>
    </cfRule>
    <cfRule type="cellIs" dxfId="147" priority="79" operator="equal">
      <formula>"Prom"</formula>
    </cfRule>
    <cfRule type="cellIs" dxfId="146" priority="80" operator="equal">
      <formula>"Libre"</formula>
    </cfRule>
  </conditionalFormatting>
  <conditionalFormatting sqref="AN16">
    <cfRule type="containsText" dxfId="145" priority="73" operator="containsText" text="Equiv">
      <formula>NOT(ISERROR(SEARCH("Equiv",AN16)))</formula>
    </cfRule>
    <cfRule type="cellIs" dxfId="144" priority="74" operator="equal">
      <formula>"Regular"</formula>
    </cfRule>
    <cfRule type="cellIs" dxfId="143" priority="75" operator="equal">
      <formula>"Prom"</formula>
    </cfRule>
    <cfRule type="cellIs" dxfId="142" priority="76" operator="equal">
      <formula>"Libre"</formula>
    </cfRule>
  </conditionalFormatting>
  <conditionalFormatting sqref="AN18">
    <cfRule type="containsText" dxfId="141" priority="69" operator="containsText" text="Equiv">
      <formula>NOT(ISERROR(SEARCH("Equiv",AN18)))</formula>
    </cfRule>
    <cfRule type="cellIs" dxfId="140" priority="70" operator="equal">
      <formula>"Regular"</formula>
    </cfRule>
    <cfRule type="cellIs" dxfId="139" priority="71" operator="equal">
      <formula>"Prom"</formula>
    </cfRule>
    <cfRule type="cellIs" dxfId="138" priority="72" operator="equal">
      <formula>"Libre"</formula>
    </cfRule>
  </conditionalFormatting>
  <conditionalFormatting sqref="AN22">
    <cfRule type="containsText" dxfId="137" priority="65" operator="containsText" text="Equiv">
      <formula>NOT(ISERROR(SEARCH("Equiv",AN22)))</formula>
    </cfRule>
    <cfRule type="cellIs" dxfId="136" priority="66" operator="equal">
      <formula>"Regular"</formula>
    </cfRule>
    <cfRule type="cellIs" dxfId="135" priority="67" operator="equal">
      <formula>"Prom"</formula>
    </cfRule>
    <cfRule type="cellIs" dxfId="134" priority="68" operator="equal">
      <formula>"Libre"</formula>
    </cfRule>
  </conditionalFormatting>
  <conditionalFormatting sqref="AN26">
    <cfRule type="containsText" dxfId="133" priority="61" operator="containsText" text="Equiv">
      <formula>NOT(ISERROR(SEARCH("Equiv",AN26)))</formula>
    </cfRule>
    <cfRule type="cellIs" dxfId="132" priority="62" operator="equal">
      <formula>"Regular"</formula>
    </cfRule>
    <cfRule type="cellIs" dxfId="131" priority="63" operator="equal">
      <formula>"Prom"</formula>
    </cfRule>
    <cfRule type="cellIs" dxfId="130" priority="64" operator="equal">
      <formula>"Libre"</formula>
    </cfRule>
  </conditionalFormatting>
  <conditionalFormatting sqref="AN30">
    <cfRule type="containsText" dxfId="129" priority="57" operator="containsText" text="Equiv">
      <formula>NOT(ISERROR(SEARCH("Equiv",AN30)))</formula>
    </cfRule>
    <cfRule type="cellIs" dxfId="128" priority="58" operator="equal">
      <formula>"Regular"</formula>
    </cfRule>
    <cfRule type="cellIs" dxfId="127" priority="59" operator="equal">
      <formula>"Prom"</formula>
    </cfRule>
    <cfRule type="cellIs" dxfId="126" priority="60" operator="equal">
      <formula>"Libre"</formula>
    </cfRule>
  </conditionalFormatting>
  <conditionalFormatting sqref="AN44">
    <cfRule type="containsText" dxfId="125" priority="53" operator="containsText" text="Equiv">
      <formula>NOT(ISERROR(SEARCH("Equiv",AN44)))</formula>
    </cfRule>
    <cfRule type="cellIs" dxfId="124" priority="54" operator="equal">
      <formula>"Regular"</formula>
    </cfRule>
    <cfRule type="cellIs" dxfId="123" priority="55" operator="equal">
      <formula>"Prom"</formula>
    </cfRule>
    <cfRule type="cellIs" dxfId="122" priority="56" operator="equal">
      <formula>"Libre"</formula>
    </cfRule>
  </conditionalFormatting>
  <conditionalFormatting sqref="AN51">
    <cfRule type="containsText" dxfId="121" priority="49" operator="containsText" text="Equiv">
      <formula>NOT(ISERROR(SEARCH("Equiv",AN51)))</formula>
    </cfRule>
    <cfRule type="cellIs" dxfId="120" priority="50" operator="equal">
      <formula>"Regular"</formula>
    </cfRule>
    <cfRule type="cellIs" dxfId="119" priority="51" operator="equal">
      <formula>"Prom"</formula>
    </cfRule>
    <cfRule type="cellIs" dxfId="118" priority="52" operator="equal">
      <formula>"Libre"</formula>
    </cfRule>
  </conditionalFormatting>
  <conditionalFormatting sqref="AM10">
    <cfRule type="containsText" dxfId="117" priority="45" operator="containsText" text="Equiv">
      <formula>NOT(ISERROR(SEARCH("Equiv",AM10)))</formula>
    </cfRule>
    <cfRule type="cellIs" dxfId="116" priority="46" operator="equal">
      <formula>"Regular"</formula>
    </cfRule>
    <cfRule type="cellIs" dxfId="115" priority="47" operator="equal">
      <formula>"Prom"</formula>
    </cfRule>
    <cfRule type="cellIs" dxfId="114" priority="48" operator="equal">
      <formula>"Libre"</formula>
    </cfRule>
  </conditionalFormatting>
  <conditionalFormatting sqref="AM24">
    <cfRule type="containsText" dxfId="113" priority="41" operator="containsText" text="Equiv">
      <formula>NOT(ISERROR(SEARCH("Equiv",AM24)))</formula>
    </cfRule>
    <cfRule type="cellIs" dxfId="112" priority="42" operator="equal">
      <formula>"Regular"</formula>
    </cfRule>
    <cfRule type="cellIs" dxfId="111" priority="43" operator="equal">
      <formula>"Prom"</formula>
    </cfRule>
    <cfRule type="cellIs" dxfId="110" priority="44" operator="equal">
      <formula>"Libre"</formula>
    </cfRule>
  </conditionalFormatting>
  <conditionalFormatting sqref="AM27:AM28">
    <cfRule type="containsText" dxfId="109" priority="37" operator="containsText" text="Equiv">
      <formula>NOT(ISERROR(SEARCH("Equiv",AM27)))</formula>
    </cfRule>
    <cfRule type="cellIs" dxfId="108" priority="38" operator="equal">
      <formula>"Regular"</formula>
    </cfRule>
    <cfRule type="cellIs" dxfId="107" priority="39" operator="equal">
      <formula>"Prom"</formula>
    </cfRule>
    <cfRule type="cellIs" dxfId="106" priority="40" operator="equal">
      <formula>"Libre"</formula>
    </cfRule>
  </conditionalFormatting>
  <conditionalFormatting sqref="AM47">
    <cfRule type="containsText" dxfId="105" priority="33" operator="containsText" text="Equiv">
      <formula>NOT(ISERROR(SEARCH("Equiv",AM47)))</formula>
    </cfRule>
    <cfRule type="cellIs" dxfId="104" priority="34" operator="equal">
      <formula>"Regular"</formula>
    </cfRule>
    <cfRule type="cellIs" dxfId="103" priority="35" operator="equal">
      <formula>"Prom"</formula>
    </cfRule>
    <cfRule type="cellIs" dxfId="102" priority="36" operator="equal">
      <formula>"Libre"</formula>
    </cfRule>
  </conditionalFormatting>
  <conditionalFormatting sqref="AM55">
    <cfRule type="containsText" dxfId="101" priority="29" operator="containsText" text="Equiv">
      <formula>NOT(ISERROR(SEARCH("Equiv",AM55)))</formula>
    </cfRule>
    <cfRule type="cellIs" dxfId="100" priority="30" operator="equal">
      <formula>"Regular"</formula>
    </cfRule>
    <cfRule type="cellIs" dxfId="99" priority="31" operator="equal">
      <formula>"Prom"</formula>
    </cfRule>
    <cfRule type="cellIs" dxfId="98" priority="32" operator="equal">
      <formula>"Libre"</formula>
    </cfRule>
  </conditionalFormatting>
  <conditionalFormatting sqref="AM20:AM21 AM23 AM34:AM40 AM42:AM43">
    <cfRule type="containsText" dxfId="97" priority="25" operator="containsText" text="Equiv">
      <formula>NOT(ISERROR(SEARCH("Equiv",AM20)))</formula>
    </cfRule>
    <cfRule type="cellIs" dxfId="96" priority="26" operator="equal">
      <formula>"Regular"</formula>
    </cfRule>
    <cfRule type="cellIs" dxfId="95" priority="27" operator="equal">
      <formula>"Prom"</formula>
    </cfRule>
    <cfRule type="cellIs" dxfId="94" priority="28" operator="equal">
      <formula>"Libre"</formula>
    </cfRule>
  </conditionalFormatting>
  <conditionalFormatting sqref="AM4:AM9">
    <cfRule type="containsText" dxfId="93" priority="21" operator="containsText" text="Equiv">
      <formula>NOT(ISERROR(SEARCH("Equiv",AM4)))</formula>
    </cfRule>
    <cfRule type="cellIs" dxfId="92" priority="22" operator="equal">
      <formula>"Regular"</formula>
    </cfRule>
    <cfRule type="cellIs" dxfId="91" priority="23" operator="equal">
      <formula>"Prom"</formula>
    </cfRule>
    <cfRule type="cellIs" dxfId="90" priority="24" operator="equal">
      <formula>"Libre"</formula>
    </cfRule>
  </conditionalFormatting>
  <conditionalFormatting sqref="AM44 AM30 AM26 AM22 AM18 AM15:AM16">
    <cfRule type="containsText" dxfId="89" priority="17" operator="containsText" text="Equiv">
      <formula>NOT(ISERROR(SEARCH("Equiv",AM15)))</formula>
    </cfRule>
    <cfRule type="cellIs" dxfId="88" priority="18" operator="equal">
      <formula>"Regular"</formula>
    </cfRule>
    <cfRule type="cellIs" dxfId="87" priority="19" operator="equal">
      <formula>"Prom"</formula>
    </cfRule>
    <cfRule type="cellIs" dxfId="86" priority="20" operator="equal">
      <formula>"Libre"</formula>
    </cfRule>
  </conditionalFormatting>
  <conditionalFormatting sqref="AM52">
    <cfRule type="containsText" dxfId="85" priority="13" operator="containsText" text="Equiv">
      <formula>NOT(ISERROR(SEARCH("Equiv",AM52)))</formula>
    </cfRule>
    <cfRule type="cellIs" dxfId="84" priority="14" operator="equal">
      <formula>"Regular"</formula>
    </cfRule>
    <cfRule type="cellIs" dxfId="83" priority="15" operator="equal">
      <formula>"Prom"</formula>
    </cfRule>
    <cfRule type="cellIs" dxfId="82" priority="16" operator="equal">
      <formula>"Libre"</formula>
    </cfRule>
  </conditionalFormatting>
  <conditionalFormatting sqref="AM51">
    <cfRule type="containsText" dxfId="81" priority="9" operator="containsText" text="Equiv">
      <formula>NOT(ISERROR(SEARCH("Equiv",AM51)))</formula>
    </cfRule>
    <cfRule type="cellIs" dxfId="80" priority="10" operator="equal">
      <formula>"Regular"</formula>
    </cfRule>
    <cfRule type="cellIs" dxfId="79" priority="11" operator="equal">
      <formula>"Prom"</formula>
    </cfRule>
    <cfRule type="cellIs" dxfId="78" priority="12" operator="equal">
      <formula>"Libre"</formula>
    </cfRule>
  </conditionalFormatting>
  <conditionalFormatting sqref="AM58 AM56">
    <cfRule type="containsText" dxfId="77" priority="5" operator="containsText" text="Equiv">
      <formula>NOT(ISERROR(SEARCH("Equiv",AM56)))</formula>
    </cfRule>
    <cfRule type="cellIs" dxfId="76" priority="6" operator="equal">
      <formula>"Regular"</formula>
    </cfRule>
    <cfRule type="cellIs" dxfId="75" priority="7" operator="equal">
      <formula>"Prom"</formula>
    </cfRule>
    <cfRule type="cellIs" dxfId="74" priority="8" operator="equal">
      <formula>"Libre"</formula>
    </cfRule>
  </conditionalFormatting>
  <conditionalFormatting sqref="AM41">
    <cfRule type="containsText" dxfId="73" priority="1" operator="containsText" text="Equiv">
      <formula>NOT(ISERROR(SEARCH("Equiv",AM41)))</formula>
    </cfRule>
    <cfRule type="cellIs" dxfId="72" priority="2" operator="equal">
      <formula>"Regular"</formula>
    </cfRule>
    <cfRule type="cellIs" dxfId="71" priority="3" operator="equal">
      <formula>"Prom"</formula>
    </cfRule>
    <cfRule type="cellIs" dxfId="70" priority="4" operator="equal">
      <formula>"Libre"</formula>
    </cfRule>
  </conditionalFormatting>
  <pageMargins left="0.23622047244094491" right="0.23622047244094491" top="0.15748031496062992" bottom="0.15748031496062992" header="0" footer="0.11811023622047245"/>
  <pageSetup paperSize="9" scale="12" orientation="portrait" r:id="rId1"/>
  <legacy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000"/>
  <sheetViews>
    <sheetView workbookViewId="0">
      <selection activeCell="D21" sqref="D21"/>
    </sheetView>
  </sheetViews>
  <sheetFormatPr baseColWidth="10" defaultRowHeight="12.75"/>
  <cols>
    <col min="31" max="31" width="16.28515625" customWidth="1"/>
  </cols>
  <sheetData>
    <row r="1" spans="1:31" ht="16.5" thickBot="1">
      <c r="A1" s="391" t="s">
        <v>674</v>
      </c>
      <c r="B1" s="392"/>
      <c r="C1" s="388" t="s">
        <v>675</v>
      </c>
      <c r="D1" s="389"/>
      <c r="E1" s="390"/>
      <c r="F1" s="263"/>
      <c r="G1" s="393" t="s">
        <v>676</v>
      </c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5"/>
    </row>
    <row r="2" spans="1:31" ht="16.5" thickBot="1">
      <c r="A2" s="391" t="s">
        <v>20</v>
      </c>
      <c r="B2" s="392"/>
      <c r="C2" s="388">
        <v>2023</v>
      </c>
      <c r="D2" s="389"/>
      <c r="E2" s="390"/>
      <c r="F2" s="263"/>
      <c r="G2" s="396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  <c r="Z2" s="397"/>
      <c r="AA2" s="397"/>
      <c r="AB2" s="397"/>
      <c r="AC2" s="397"/>
      <c r="AD2" s="397"/>
      <c r="AE2" s="398"/>
    </row>
    <row r="3" spans="1:31" ht="16.5" thickBot="1">
      <c r="A3" s="391" t="s">
        <v>677</v>
      </c>
      <c r="B3" s="392"/>
      <c r="C3" s="391" t="s">
        <v>678</v>
      </c>
      <c r="D3" s="402"/>
      <c r="E3" s="392"/>
      <c r="F3" s="263"/>
      <c r="G3" s="396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8"/>
    </row>
    <row r="4" spans="1:31" ht="16.5" thickBot="1">
      <c r="A4" s="391" t="s">
        <v>679</v>
      </c>
      <c r="B4" s="392"/>
      <c r="C4" s="391" t="s">
        <v>53</v>
      </c>
      <c r="D4" s="402"/>
      <c r="E4" s="392"/>
      <c r="F4" s="263"/>
      <c r="G4" s="396"/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8"/>
    </row>
    <row r="5" spans="1:31" ht="16.5" thickBot="1">
      <c r="A5" s="391" t="s">
        <v>680</v>
      </c>
      <c r="B5" s="392"/>
      <c r="C5" s="388" t="s">
        <v>681</v>
      </c>
      <c r="D5" s="389"/>
      <c r="E5" s="390"/>
      <c r="F5" s="263"/>
      <c r="G5" s="396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8"/>
    </row>
    <row r="6" spans="1:31" ht="16.5" thickBot="1">
      <c r="A6" s="391" t="s">
        <v>682</v>
      </c>
      <c r="B6" s="392"/>
      <c r="C6" s="388" t="s">
        <v>683</v>
      </c>
      <c r="D6" s="389"/>
      <c r="E6" s="390"/>
      <c r="F6" s="263"/>
      <c r="G6" s="396"/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8"/>
    </row>
    <row r="7" spans="1:31" ht="16.5" thickBot="1">
      <c r="A7" s="391" t="s">
        <v>61</v>
      </c>
      <c r="B7" s="392"/>
      <c r="C7" s="388" t="s">
        <v>684</v>
      </c>
      <c r="D7" s="389"/>
      <c r="E7" s="390"/>
      <c r="F7" s="263"/>
      <c r="G7" s="399"/>
      <c r="H7" s="400"/>
      <c r="I7" s="400"/>
      <c r="J7" s="400"/>
      <c r="K7" s="400"/>
      <c r="L7" s="400"/>
      <c r="M7" s="400"/>
      <c r="N7" s="400"/>
      <c r="O7" s="400"/>
      <c r="P7" s="400"/>
      <c r="Q7" s="400"/>
      <c r="R7" s="400"/>
      <c r="S7" s="400"/>
      <c r="T7" s="400"/>
      <c r="U7" s="400"/>
      <c r="V7" s="400"/>
      <c r="W7" s="400"/>
      <c r="X7" s="400"/>
      <c r="Y7" s="400"/>
      <c r="Z7" s="400"/>
      <c r="AA7" s="400"/>
      <c r="AB7" s="400"/>
      <c r="AC7" s="400"/>
      <c r="AD7" s="400"/>
      <c r="AE7" s="401"/>
    </row>
    <row r="8" spans="1:31" ht="16.5" thickBot="1">
      <c r="A8" s="386" t="s">
        <v>685</v>
      </c>
      <c r="B8" s="387"/>
      <c r="C8" s="388" t="s">
        <v>93</v>
      </c>
      <c r="D8" s="389"/>
      <c r="E8" s="390"/>
      <c r="F8" s="264"/>
      <c r="G8" s="178"/>
      <c r="H8" s="403" t="s">
        <v>686</v>
      </c>
      <c r="I8" s="404"/>
      <c r="J8" s="403" t="s">
        <v>687</v>
      </c>
      <c r="K8" s="404"/>
      <c r="L8" s="403" t="s">
        <v>688</v>
      </c>
      <c r="M8" s="404"/>
      <c r="N8" s="403" t="s">
        <v>689</v>
      </c>
      <c r="O8" s="404"/>
      <c r="P8" s="409" t="s">
        <v>690</v>
      </c>
      <c r="Q8" s="410"/>
      <c r="R8" s="409" t="s">
        <v>691</v>
      </c>
      <c r="S8" s="410"/>
      <c r="T8" s="179" t="s">
        <v>692</v>
      </c>
      <c r="U8" s="403" t="s">
        <v>693</v>
      </c>
      <c r="V8" s="404"/>
      <c r="W8" s="403" t="s">
        <v>694</v>
      </c>
      <c r="X8" s="405"/>
      <c r="Y8" s="404"/>
      <c r="Z8" s="406" t="s">
        <v>692</v>
      </c>
      <c r="AA8" s="407"/>
      <c r="AB8" s="407"/>
      <c r="AC8" s="407"/>
      <c r="AD8" s="407"/>
      <c r="AE8" s="408"/>
    </row>
    <row r="9" spans="1:31" ht="15.75" thickBot="1">
      <c r="A9" s="180" t="s">
        <v>695</v>
      </c>
      <c r="B9" s="181" t="s">
        <v>0</v>
      </c>
      <c r="C9" s="307" t="s">
        <v>1</v>
      </c>
      <c r="D9" s="181" t="s">
        <v>696</v>
      </c>
      <c r="E9" s="181" t="s">
        <v>697</v>
      </c>
      <c r="F9" s="181" t="s">
        <v>698</v>
      </c>
      <c r="G9" s="181" t="s">
        <v>699</v>
      </c>
      <c r="H9" s="182" t="s">
        <v>63</v>
      </c>
      <c r="I9" s="182" t="s">
        <v>700</v>
      </c>
      <c r="J9" s="182" t="s">
        <v>63</v>
      </c>
      <c r="K9" s="182" t="s">
        <v>700</v>
      </c>
      <c r="L9" s="182" t="s">
        <v>63</v>
      </c>
      <c r="M9" s="182" t="s">
        <v>700</v>
      </c>
      <c r="N9" s="182" t="s">
        <v>63</v>
      </c>
      <c r="O9" s="182" t="s">
        <v>700</v>
      </c>
      <c r="P9" s="183" t="s">
        <v>63</v>
      </c>
      <c r="Q9" s="183" t="s">
        <v>700</v>
      </c>
      <c r="R9" s="183" t="s">
        <v>63</v>
      </c>
      <c r="S9" s="183" t="s">
        <v>700</v>
      </c>
      <c r="T9" s="179" t="s">
        <v>701</v>
      </c>
      <c r="U9" s="182" t="s">
        <v>63</v>
      </c>
      <c r="V9" s="182" t="s">
        <v>700</v>
      </c>
      <c r="W9" s="182" t="s">
        <v>63</v>
      </c>
      <c r="X9" s="182" t="s">
        <v>16</v>
      </c>
      <c r="Y9" s="182" t="s">
        <v>60</v>
      </c>
      <c r="Z9" s="184" t="s">
        <v>13</v>
      </c>
      <c r="AA9" s="184" t="s">
        <v>14</v>
      </c>
      <c r="AB9" s="184" t="s">
        <v>63</v>
      </c>
      <c r="AC9" s="184" t="s">
        <v>700</v>
      </c>
      <c r="AD9" s="184" t="s">
        <v>702</v>
      </c>
      <c r="AE9" s="184" t="s">
        <v>703</v>
      </c>
    </row>
    <row r="10" spans="1:31" ht="39" thickBot="1">
      <c r="A10" s="308">
        <v>1</v>
      </c>
      <c r="B10" s="309">
        <v>2023</v>
      </c>
      <c r="C10" s="309" t="s">
        <v>559</v>
      </c>
      <c r="D10" s="310" t="s">
        <v>261</v>
      </c>
      <c r="E10" s="310" t="s">
        <v>310</v>
      </c>
      <c r="F10" s="311">
        <v>42384732</v>
      </c>
      <c r="G10" s="312" t="s">
        <v>365</v>
      </c>
      <c r="H10" s="313">
        <v>45083</v>
      </c>
      <c r="I10" s="314">
        <v>3</v>
      </c>
      <c r="J10" s="313">
        <v>45114</v>
      </c>
      <c r="K10" s="314">
        <v>7</v>
      </c>
      <c r="L10" s="313">
        <v>45230</v>
      </c>
      <c r="M10" s="314">
        <v>8</v>
      </c>
      <c r="N10" s="313">
        <v>45237</v>
      </c>
      <c r="O10" s="314">
        <v>8</v>
      </c>
      <c r="P10" s="313">
        <v>45104</v>
      </c>
      <c r="Q10" s="314">
        <v>8</v>
      </c>
      <c r="R10" s="315"/>
      <c r="S10" s="315"/>
      <c r="T10" s="316" t="s">
        <v>739</v>
      </c>
      <c r="U10" s="315"/>
      <c r="V10" s="315"/>
      <c r="W10" s="317"/>
      <c r="X10" s="317"/>
      <c r="Y10" s="317"/>
      <c r="Z10" s="332"/>
      <c r="AA10" s="332"/>
      <c r="AB10" s="333"/>
      <c r="AC10" s="332"/>
      <c r="AD10" s="304"/>
      <c r="AE10" s="217" t="s">
        <v>737</v>
      </c>
    </row>
    <row r="11" spans="1:31" ht="16.5" thickBot="1">
      <c r="A11" s="185"/>
      <c r="B11" s="186"/>
      <c r="C11" s="186"/>
      <c r="D11" s="187"/>
      <c r="E11" s="187"/>
      <c r="F11" s="188"/>
      <c r="G11" s="195"/>
      <c r="H11" s="299"/>
      <c r="I11" s="298"/>
      <c r="J11" s="299"/>
      <c r="K11" s="298"/>
      <c r="L11" s="299"/>
      <c r="M11" s="298"/>
      <c r="N11" s="299"/>
      <c r="O11" s="298"/>
      <c r="P11" s="268"/>
      <c r="Q11" s="268"/>
      <c r="R11" s="191"/>
      <c r="S11" s="191"/>
      <c r="T11" s="218"/>
      <c r="U11" s="191"/>
      <c r="V11" s="191"/>
      <c r="W11" s="194"/>
      <c r="X11" s="194"/>
      <c r="Y11" s="194"/>
      <c r="Z11" s="334"/>
      <c r="AA11" s="334"/>
      <c r="AB11" s="335"/>
      <c r="AC11" s="334"/>
      <c r="AD11" s="336"/>
      <c r="AE11" s="218"/>
    </row>
    <row r="12" spans="1:31" ht="16.5" thickBot="1">
      <c r="A12" s="185"/>
      <c r="B12" s="186"/>
      <c r="C12" s="186"/>
      <c r="D12" s="187"/>
      <c r="E12" s="187"/>
      <c r="F12" s="188"/>
      <c r="G12" s="189"/>
      <c r="H12" s="299"/>
      <c r="I12" s="298"/>
      <c r="J12" s="299"/>
      <c r="K12" s="298"/>
      <c r="L12" s="299"/>
      <c r="M12" s="298"/>
      <c r="N12" s="299"/>
      <c r="O12" s="298"/>
      <c r="P12" s="299"/>
      <c r="Q12" s="298"/>
      <c r="R12" s="191"/>
      <c r="S12" s="191"/>
      <c r="T12" s="218"/>
      <c r="U12" s="191"/>
      <c r="V12" s="191"/>
      <c r="W12" s="194"/>
      <c r="X12" s="194"/>
      <c r="Y12" s="194"/>
      <c r="Z12" s="332"/>
      <c r="AA12" s="332"/>
      <c r="AB12" s="333"/>
      <c r="AC12" s="332"/>
      <c r="AD12" s="337"/>
      <c r="AE12" s="218"/>
    </row>
    <row r="13" spans="1:31" ht="16.5" thickBot="1">
      <c r="A13" s="185"/>
      <c r="B13" s="186"/>
      <c r="C13" s="186"/>
      <c r="D13" s="187"/>
      <c r="E13" s="187"/>
      <c r="F13" s="188"/>
      <c r="G13" s="189"/>
      <c r="H13" s="299"/>
      <c r="I13" s="298"/>
      <c r="J13" s="299"/>
      <c r="K13" s="298"/>
      <c r="L13" s="299"/>
      <c r="M13" s="298"/>
      <c r="N13" s="299"/>
      <c r="O13" s="298"/>
      <c r="P13" s="268"/>
      <c r="Q13" s="268"/>
      <c r="R13" s="191"/>
      <c r="S13" s="191"/>
      <c r="T13" s="218"/>
      <c r="U13" s="191"/>
      <c r="V13" s="191"/>
      <c r="W13" s="194"/>
      <c r="X13" s="194"/>
      <c r="Y13" s="194"/>
      <c r="Z13" s="334"/>
      <c r="AA13" s="334"/>
      <c r="AB13" s="335"/>
      <c r="AC13" s="334"/>
      <c r="AD13" s="336"/>
      <c r="AE13" s="218"/>
    </row>
    <row r="14" spans="1:31" ht="16.5" thickBot="1">
      <c r="A14" s="185"/>
      <c r="B14" s="186"/>
      <c r="C14" s="186"/>
      <c r="D14" s="187"/>
      <c r="E14" s="187"/>
      <c r="F14" s="188"/>
      <c r="G14" s="189"/>
      <c r="H14" s="299"/>
      <c r="I14" s="298"/>
      <c r="J14" s="299"/>
      <c r="K14" s="298"/>
      <c r="L14" s="299"/>
      <c r="M14" s="298"/>
      <c r="N14" s="299"/>
      <c r="O14" s="298"/>
      <c r="P14" s="268"/>
      <c r="Q14" s="268"/>
      <c r="R14" s="191"/>
      <c r="S14" s="191"/>
      <c r="T14" s="218"/>
      <c r="U14" s="191"/>
      <c r="V14" s="191"/>
      <c r="W14" s="194"/>
      <c r="X14" s="194"/>
      <c r="Y14" s="194"/>
      <c r="Z14" s="332"/>
      <c r="AA14" s="332"/>
      <c r="AB14" s="333"/>
      <c r="AC14" s="332"/>
      <c r="AD14" s="337"/>
      <c r="AE14" s="218"/>
    </row>
    <row r="15" spans="1:31" ht="16.5" thickBot="1">
      <c r="A15" s="185"/>
      <c r="B15" s="186"/>
      <c r="C15" s="186"/>
      <c r="D15" s="187"/>
      <c r="E15" s="187"/>
      <c r="F15" s="188"/>
      <c r="G15" s="189"/>
      <c r="H15" s="299"/>
      <c r="I15" s="298"/>
      <c r="J15" s="299"/>
      <c r="K15" s="298"/>
      <c r="L15" s="299"/>
      <c r="M15" s="298"/>
      <c r="N15" s="299"/>
      <c r="O15" s="298"/>
      <c r="P15" s="268"/>
      <c r="Q15" s="268"/>
      <c r="R15" s="191"/>
      <c r="S15" s="191"/>
      <c r="T15" s="218"/>
      <c r="U15" s="191"/>
      <c r="V15" s="191"/>
      <c r="W15" s="194"/>
      <c r="X15" s="194"/>
      <c r="Y15" s="194"/>
      <c r="Z15" s="334"/>
      <c r="AA15" s="334"/>
      <c r="AB15" s="335"/>
      <c r="AC15" s="334"/>
      <c r="AD15" s="336"/>
      <c r="AE15" s="218"/>
    </row>
    <row r="16" spans="1:31" ht="16.5" thickBot="1">
      <c r="A16" s="185"/>
      <c r="B16" s="186"/>
      <c r="C16" s="186"/>
      <c r="D16" s="187"/>
      <c r="E16" s="187"/>
      <c r="F16" s="188"/>
      <c r="G16" s="189"/>
      <c r="H16" s="299"/>
      <c r="I16" s="298"/>
      <c r="J16" s="299"/>
      <c r="K16" s="298"/>
      <c r="L16" s="299"/>
      <c r="M16" s="298"/>
      <c r="N16" s="299"/>
      <c r="O16" s="298"/>
      <c r="P16" s="268"/>
      <c r="Q16" s="268"/>
      <c r="R16" s="191"/>
      <c r="S16" s="191"/>
      <c r="T16" s="218"/>
      <c r="U16" s="191"/>
      <c r="V16" s="191"/>
      <c r="W16" s="194"/>
      <c r="X16" s="194"/>
      <c r="Y16" s="194"/>
      <c r="Z16" s="332"/>
      <c r="AA16" s="332"/>
      <c r="AB16" s="333"/>
      <c r="AC16" s="332"/>
      <c r="AD16" s="337"/>
      <c r="AE16" s="218"/>
    </row>
    <row r="17" spans="1:31" ht="16.5" thickBot="1">
      <c r="A17" s="185"/>
      <c r="B17" s="186"/>
      <c r="C17" s="186"/>
      <c r="D17" s="187"/>
      <c r="E17" s="187"/>
      <c r="F17" s="188"/>
      <c r="G17" s="189"/>
      <c r="H17" s="299"/>
      <c r="I17" s="298"/>
      <c r="J17" s="299"/>
      <c r="K17" s="298"/>
      <c r="L17" s="299"/>
      <c r="M17" s="298"/>
      <c r="N17" s="299"/>
      <c r="O17" s="298"/>
      <c r="P17" s="268"/>
      <c r="Q17" s="268"/>
      <c r="R17" s="191"/>
      <c r="S17" s="191"/>
      <c r="T17" s="318"/>
      <c r="U17" s="190"/>
      <c r="V17" s="193"/>
      <c r="W17" s="194"/>
      <c r="X17" s="194"/>
      <c r="Y17" s="194"/>
      <c r="Z17" s="334"/>
      <c r="AA17" s="334"/>
      <c r="AB17" s="335"/>
      <c r="AC17" s="334"/>
      <c r="AD17" s="304"/>
      <c r="AE17" s="217"/>
    </row>
    <row r="18" spans="1:31" ht="16.5" thickBot="1">
      <c r="A18" s="185"/>
      <c r="B18" s="186"/>
      <c r="C18" s="186"/>
      <c r="D18" s="187"/>
      <c r="E18" s="187"/>
      <c r="F18" s="188"/>
      <c r="G18" s="189"/>
      <c r="H18" s="299"/>
      <c r="I18" s="298"/>
      <c r="J18" s="299"/>
      <c r="K18" s="298"/>
      <c r="L18" s="299"/>
      <c r="M18" s="298"/>
      <c r="N18" s="299"/>
      <c r="O18" s="298"/>
      <c r="P18" s="268"/>
      <c r="Q18" s="268"/>
      <c r="R18" s="191"/>
      <c r="S18" s="191"/>
      <c r="T18" s="218"/>
      <c r="U18" s="191"/>
      <c r="V18" s="191"/>
      <c r="W18" s="194"/>
      <c r="X18" s="194"/>
      <c r="Y18" s="194"/>
      <c r="Z18" s="332"/>
      <c r="AA18" s="332"/>
      <c r="AB18" s="333"/>
      <c r="AC18" s="332"/>
      <c r="AD18" s="337"/>
      <c r="AE18" s="218"/>
    </row>
    <row r="19" spans="1:31" ht="16.5" thickBot="1">
      <c r="A19" s="185"/>
      <c r="B19" s="186"/>
      <c r="C19" s="186"/>
      <c r="D19" s="187"/>
      <c r="E19" s="187"/>
      <c r="F19" s="188"/>
      <c r="G19" s="189"/>
      <c r="H19" s="299"/>
      <c r="I19" s="298"/>
      <c r="J19" s="299"/>
      <c r="K19" s="298"/>
      <c r="L19" s="299"/>
      <c r="M19" s="298"/>
      <c r="N19" s="299"/>
      <c r="O19" s="298"/>
      <c r="P19" s="268"/>
      <c r="Q19" s="268"/>
      <c r="R19" s="191"/>
      <c r="S19" s="191"/>
      <c r="T19" s="218"/>
      <c r="U19" s="191"/>
      <c r="V19" s="191"/>
      <c r="W19" s="194"/>
      <c r="X19" s="194"/>
      <c r="Y19" s="194"/>
      <c r="Z19" s="334"/>
      <c r="AA19" s="334"/>
      <c r="AB19" s="335"/>
      <c r="AC19" s="334"/>
      <c r="AD19" s="336"/>
      <c r="AE19" s="218"/>
    </row>
    <row r="20" spans="1:31" ht="16.5" thickBot="1">
      <c r="A20" s="185"/>
      <c r="B20" s="186"/>
      <c r="C20" s="186"/>
      <c r="D20" s="187"/>
      <c r="E20" s="187"/>
      <c r="F20" s="188"/>
      <c r="G20" s="189"/>
      <c r="H20" s="299"/>
      <c r="I20" s="298"/>
      <c r="J20" s="299"/>
      <c r="K20" s="298"/>
      <c r="L20" s="299"/>
      <c r="M20" s="298"/>
      <c r="N20" s="299"/>
      <c r="O20" s="298"/>
      <c r="P20" s="268"/>
      <c r="Q20" s="268"/>
      <c r="R20" s="191"/>
      <c r="S20" s="191"/>
      <c r="T20" s="218"/>
      <c r="U20" s="191"/>
      <c r="V20" s="191"/>
      <c r="W20" s="194"/>
      <c r="X20" s="194"/>
      <c r="Y20" s="194"/>
      <c r="Z20" s="332"/>
      <c r="AA20" s="332"/>
      <c r="AB20" s="333"/>
      <c r="AC20" s="332"/>
      <c r="AD20" s="337"/>
      <c r="AE20" s="218"/>
    </row>
    <row r="21" spans="1:31" ht="16.5" thickBot="1">
      <c r="A21" s="185"/>
      <c r="B21" s="186"/>
      <c r="C21" s="186"/>
      <c r="D21" s="187"/>
      <c r="E21" s="187"/>
      <c r="F21" s="188"/>
      <c r="G21" s="189"/>
      <c r="H21" s="299"/>
      <c r="I21" s="298"/>
      <c r="J21" s="299"/>
      <c r="K21" s="298"/>
      <c r="L21" s="299"/>
      <c r="M21" s="298"/>
      <c r="N21" s="299"/>
      <c r="O21" s="298"/>
      <c r="P21" s="268"/>
      <c r="Q21" s="268"/>
      <c r="R21" s="191"/>
      <c r="S21" s="191"/>
      <c r="T21" s="218"/>
      <c r="U21" s="191"/>
      <c r="V21" s="191"/>
      <c r="W21" s="194"/>
      <c r="X21" s="194"/>
      <c r="Y21" s="194"/>
      <c r="Z21" s="334"/>
      <c r="AA21" s="334"/>
      <c r="AB21" s="335"/>
      <c r="AC21" s="334"/>
      <c r="AD21" s="336"/>
      <c r="AE21" s="218"/>
    </row>
    <row r="22" spans="1:31" ht="16.5" thickBot="1">
      <c r="A22" s="185"/>
      <c r="B22" s="186"/>
      <c r="C22" s="186"/>
      <c r="D22" s="187"/>
      <c r="E22" s="187"/>
      <c r="F22" s="188"/>
      <c r="G22" s="189"/>
      <c r="H22" s="299"/>
      <c r="I22" s="298"/>
      <c r="J22" s="299"/>
      <c r="K22" s="298"/>
      <c r="L22" s="299"/>
      <c r="M22" s="298"/>
      <c r="N22" s="299"/>
      <c r="O22" s="298"/>
      <c r="P22" s="299"/>
      <c r="Q22" s="298"/>
      <c r="R22" s="190"/>
      <c r="S22" s="193"/>
      <c r="T22" s="290"/>
      <c r="U22" s="191"/>
      <c r="V22" s="191"/>
      <c r="W22" s="194"/>
      <c r="X22" s="194"/>
      <c r="Y22" s="194"/>
      <c r="Z22" s="332"/>
      <c r="AA22" s="332"/>
      <c r="AB22" s="333"/>
      <c r="AC22" s="332"/>
      <c r="AD22" s="304"/>
      <c r="AE22" s="217"/>
    </row>
    <row r="23" spans="1:31" ht="16.5" thickBot="1">
      <c r="A23" s="185"/>
      <c r="B23" s="186"/>
      <c r="C23" s="186"/>
      <c r="D23" s="187"/>
      <c r="E23" s="187"/>
      <c r="F23" s="188"/>
      <c r="G23" s="189"/>
      <c r="H23" s="299"/>
      <c r="I23" s="298"/>
      <c r="J23" s="299"/>
      <c r="K23" s="298"/>
      <c r="L23" s="299"/>
      <c r="M23" s="298"/>
      <c r="N23" s="299"/>
      <c r="O23" s="298"/>
      <c r="P23" s="268"/>
      <c r="Q23" s="268"/>
      <c r="R23" s="191"/>
      <c r="S23" s="191"/>
      <c r="T23" s="290"/>
      <c r="U23" s="191"/>
      <c r="V23" s="191"/>
      <c r="W23" s="194"/>
      <c r="X23" s="194"/>
      <c r="Y23" s="194"/>
      <c r="Z23" s="334"/>
      <c r="AA23" s="334"/>
      <c r="AB23" s="335"/>
      <c r="AC23" s="334"/>
      <c r="AD23" s="304"/>
      <c r="AE23" s="217"/>
    </row>
    <row r="24" spans="1:31" ht="16.5" thickBot="1">
      <c r="A24" s="185"/>
      <c r="B24" s="186"/>
      <c r="C24" s="186"/>
      <c r="D24" s="187"/>
      <c r="E24" s="187"/>
      <c r="F24" s="188"/>
      <c r="G24" s="195"/>
      <c r="H24" s="299"/>
      <c r="I24" s="298"/>
      <c r="J24" s="299"/>
      <c r="K24" s="298"/>
      <c r="L24" s="299"/>
      <c r="M24" s="298"/>
      <c r="N24" s="299"/>
      <c r="O24" s="298"/>
      <c r="P24" s="268"/>
      <c r="Q24" s="268"/>
      <c r="R24" s="191"/>
      <c r="S24" s="191"/>
      <c r="T24" s="218"/>
      <c r="U24" s="191"/>
      <c r="V24" s="191"/>
      <c r="W24" s="194"/>
      <c r="X24" s="194"/>
      <c r="Y24" s="194"/>
      <c r="Z24" s="332"/>
      <c r="AA24" s="332"/>
      <c r="AB24" s="333"/>
      <c r="AC24" s="332"/>
      <c r="AD24" s="337"/>
      <c r="AE24" s="218"/>
    </row>
    <row r="25" spans="1:31" ht="16.5" thickBot="1">
      <c r="A25" s="185"/>
      <c r="B25" s="186"/>
      <c r="C25" s="186"/>
      <c r="D25" s="187"/>
      <c r="E25" s="187"/>
      <c r="F25" s="188"/>
      <c r="G25" s="189"/>
      <c r="H25" s="299"/>
      <c r="I25" s="298"/>
      <c r="J25" s="299"/>
      <c r="K25" s="298"/>
      <c r="L25" s="299"/>
      <c r="M25" s="298"/>
      <c r="N25" s="299"/>
      <c r="O25" s="298"/>
      <c r="P25" s="299"/>
      <c r="Q25" s="298"/>
      <c r="R25" s="190"/>
      <c r="S25" s="193"/>
      <c r="T25" s="290"/>
      <c r="U25" s="191"/>
      <c r="V25" s="191"/>
      <c r="W25" s="194"/>
      <c r="X25" s="194"/>
      <c r="Y25" s="194"/>
      <c r="Z25" s="334"/>
      <c r="AA25" s="334"/>
      <c r="AB25" s="335"/>
      <c r="AC25" s="334"/>
      <c r="AD25" s="304"/>
      <c r="AE25" s="217"/>
    </row>
    <row r="26" spans="1:31" ht="16.5" thickBot="1">
      <c r="A26" s="185"/>
      <c r="B26" s="186"/>
      <c r="C26" s="186"/>
      <c r="D26" s="187"/>
      <c r="E26" s="187"/>
      <c r="F26" s="188"/>
      <c r="G26" s="189"/>
      <c r="H26" s="299"/>
      <c r="I26" s="298"/>
      <c r="J26" s="299"/>
      <c r="K26" s="298"/>
      <c r="L26" s="299"/>
      <c r="M26" s="298"/>
      <c r="N26" s="299"/>
      <c r="O26" s="298"/>
      <c r="P26" s="268"/>
      <c r="Q26" s="268"/>
      <c r="R26" s="191"/>
      <c r="S26" s="191"/>
      <c r="T26" s="218"/>
      <c r="U26" s="191"/>
      <c r="V26" s="191"/>
      <c r="W26" s="194"/>
      <c r="X26" s="194"/>
      <c r="Y26" s="194"/>
      <c r="Z26" s="332"/>
      <c r="AA26" s="332"/>
      <c r="AB26" s="333"/>
      <c r="AC26" s="332"/>
      <c r="AD26" s="337"/>
      <c r="AE26" s="218"/>
    </row>
    <row r="27" spans="1:31" ht="16.5" thickBot="1">
      <c r="A27" s="185"/>
      <c r="B27" s="186"/>
      <c r="C27" s="186"/>
      <c r="D27" s="187"/>
      <c r="E27" s="187"/>
      <c r="F27" s="188"/>
      <c r="G27" s="189"/>
      <c r="H27" s="299"/>
      <c r="I27" s="298"/>
      <c r="J27" s="299"/>
      <c r="K27" s="298"/>
      <c r="L27" s="299"/>
      <c r="M27" s="298"/>
      <c r="N27" s="299"/>
      <c r="O27" s="298"/>
      <c r="P27" s="268"/>
      <c r="Q27" s="268"/>
      <c r="R27" s="191"/>
      <c r="S27" s="191"/>
      <c r="T27" s="218"/>
      <c r="U27" s="191"/>
      <c r="V27" s="191"/>
      <c r="W27" s="194"/>
      <c r="X27" s="194"/>
      <c r="Y27" s="194"/>
      <c r="Z27" s="334"/>
      <c r="AA27" s="334"/>
      <c r="AB27" s="335"/>
      <c r="AC27" s="334"/>
      <c r="AD27" s="336"/>
      <c r="AE27" s="218"/>
    </row>
    <row r="28" spans="1:31" ht="16.5" thickBot="1">
      <c r="A28" s="185"/>
      <c r="B28" s="186"/>
      <c r="C28" s="186"/>
      <c r="D28" s="187"/>
      <c r="E28" s="187"/>
      <c r="F28" s="188"/>
      <c r="G28" s="189"/>
      <c r="H28" s="299"/>
      <c r="I28" s="298"/>
      <c r="J28" s="299"/>
      <c r="K28" s="298"/>
      <c r="L28" s="299"/>
      <c r="M28" s="298"/>
      <c r="N28" s="299"/>
      <c r="O28" s="298"/>
      <c r="P28" s="299"/>
      <c r="Q28" s="298"/>
      <c r="R28" s="191"/>
      <c r="S28" s="191"/>
      <c r="T28" s="218"/>
      <c r="U28" s="191"/>
      <c r="V28" s="191"/>
      <c r="W28" s="194"/>
      <c r="X28" s="194"/>
      <c r="Y28" s="194"/>
      <c r="Z28" s="332"/>
      <c r="AA28" s="332"/>
      <c r="AB28" s="333"/>
      <c r="AC28" s="332"/>
      <c r="AD28" s="337"/>
      <c r="AE28" s="218"/>
    </row>
    <row r="29" spans="1:31" ht="16.5" thickBot="1">
      <c r="A29" s="185"/>
      <c r="B29" s="186"/>
      <c r="C29" s="186"/>
      <c r="D29" s="187"/>
      <c r="E29" s="187"/>
      <c r="F29" s="188"/>
      <c r="G29" s="189"/>
      <c r="H29" s="299"/>
      <c r="I29" s="298"/>
      <c r="J29" s="299"/>
      <c r="K29" s="298"/>
      <c r="L29" s="299"/>
      <c r="M29" s="298"/>
      <c r="N29" s="299"/>
      <c r="O29" s="298"/>
      <c r="P29" s="268"/>
      <c r="Q29" s="268"/>
      <c r="R29" s="191"/>
      <c r="S29" s="191"/>
      <c r="T29" s="290"/>
      <c r="U29" s="191"/>
      <c r="V29" s="191"/>
      <c r="W29" s="194"/>
      <c r="X29" s="194"/>
      <c r="Y29" s="194"/>
      <c r="Z29" s="334"/>
      <c r="AA29" s="334"/>
      <c r="AB29" s="335"/>
      <c r="AC29" s="334"/>
      <c r="AD29" s="304"/>
      <c r="AE29" s="217"/>
    </row>
    <row r="30" spans="1:31" ht="16.5" thickBot="1">
      <c r="A30" s="185"/>
      <c r="B30" s="186"/>
      <c r="C30" s="186"/>
      <c r="D30" s="187"/>
      <c r="E30" s="187"/>
      <c r="F30" s="188"/>
      <c r="G30" s="189"/>
      <c r="H30" s="299"/>
      <c r="I30" s="298"/>
      <c r="J30" s="299"/>
      <c r="K30" s="298"/>
      <c r="L30" s="299"/>
      <c r="M30" s="298"/>
      <c r="N30" s="299"/>
      <c r="O30" s="298"/>
      <c r="P30" s="268"/>
      <c r="Q30" s="268"/>
      <c r="R30" s="191"/>
      <c r="S30" s="191"/>
      <c r="T30" s="218"/>
      <c r="U30" s="191"/>
      <c r="V30" s="191"/>
      <c r="W30" s="194"/>
      <c r="X30" s="194"/>
      <c r="Y30" s="194"/>
      <c r="Z30" s="332"/>
      <c r="AA30" s="332"/>
      <c r="AB30" s="333"/>
      <c r="AC30" s="332"/>
      <c r="AD30" s="337"/>
      <c r="AE30" s="218"/>
    </row>
    <row r="31" spans="1:31" ht="16.5" thickBot="1">
      <c r="A31" s="185"/>
      <c r="B31" s="186"/>
      <c r="C31" s="186"/>
      <c r="D31" s="187"/>
      <c r="E31" s="187"/>
      <c r="F31" s="188"/>
      <c r="G31" s="189"/>
      <c r="H31" s="299"/>
      <c r="I31" s="298"/>
      <c r="J31" s="299"/>
      <c r="K31" s="298"/>
      <c r="L31" s="299"/>
      <c r="M31" s="298"/>
      <c r="N31" s="299"/>
      <c r="O31" s="298"/>
      <c r="P31" s="268"/>
      <c r="Q31" s="268"/>
      <c r="R31" s="191"/>
      <c r="S31" s="191"/>
      <c r="T31" s="318"/>
      <c r="U31" s="190"/>
      <c r="V31" s="193"/>
      <c r="W31" s="194"/>
      <c r="X31" s="194"/>
      <c r="Y31" s="194"/>
      <c r="Z31" s="334"/>
      <c r="AA31" s="334"/>
      <c r="AB31" s="335"/>
      <c r="AC31" s="334"/>
      <c r="AD31" s="304"/>
      <c r="AE31" s="217"/>
    </row>
    <row r="32" spans="1:31" ht="16.5" thickBot="1">
      <c r="A32" s="185"/>
      <c r="B32" s="186"/>
      <c r="C32" s="186"/>
      <c r="D32" s="187"/>
      <c r="E32" s="187"/>
      <c r="F32" s="188"/>
      <c r="G32" s="189"/>
      <c r="H32" s="299"/>
      <c r="I32" s="298"/>
      <c r="J32" s="299"/>
      <c r="K32" s="298"/>
      <c r="L32" s="299"/>
      <c r="M32" s="298"/>
      <c r="N32" s="299"/>
      <c r="O32" s="298"/>
      <c r="P32" s="268"/>
      <c r="Q32" s="268"/>
      <c r="R32" s="191"/>
      <c r="S32" s="191"/>
      <c r="T32" s="218"/>
      <c r="U32" s="191"/>
      <c r="V32" s="191"/>
      <c r="W32" s="194"/>
      <c r="X32" s="194"/>
      <c r="Y32" s="194"/>
      <c r="Z32" s="332"/>
      <c r="AA32" s="332"/>
      <c r="AB32" s="333"/>
      <c r="AC32" s="332"/>
      <c r="AD32" s="337"/>
      <c r="AE32" s="218"/>
    </row>
    <row r="33" spans="1:31" ht="16.5" thickBot="1">
      <c r="A33" s="185"/>
      <c r="B33" s="186"/>
      <c r="C33" s="186"/>
      <c r="D33" s="187"/>
      <c r="E33" s="187"/>
      <c r="F33" s="188"/>
      <c r="G33" s="189"/>
      <c r="H33" s="299"/>
      <c r="I33" s="298"/>
      <c r="J33" s="299"/>
      <c r="K33" s="298"/>
      <c r="L33" s="299"/>
      <c r="M33" s="298"/>
      <c r="N33" s="299"/>
      <c r="O33" s="298"/>
      <c r="P33" s="299"/>
      <c r="Q33" s="298"/>
      <c r="R33" s="191"/>
      <c r="S33" s="191"/>
      <c r="T33" s="290"/>
      <c r="U33" s="191"/>
      <c r="V33" s="191"/>
      <c r="W33" s="194"/>
      <c r="X33" s="194"/>
      <c r="Y33" s="194"/>
      <c r="Z33" s="334"/>
      <c r="AA33" s="334"/>
      <c r="AB33" s="335"/>
      <c r="AC33" s="334"/>
      <c r="AD33" s="304"/>
      <c r="AE33" s="217"/>
    </row>
    <row r="34" spans="1:31" ht="16.5" thickBot="1">
      <c r="A34" s="185"/>
      <c r="B34" s="186"/>
      <c r="C34" s="186"/>
      <c r="D34" s="187"/>
      <c r="E34" s="187"/>
      <c r="F34" s="188"/>
      <c r="G34" s="189"/>
      <c r="H34" s="299"/>
      <c r="I34" s="298"/>
      <c r="J34" s="299"/>
      <c r="K34" s="298"/>
      <c r="L34" s="299"/>
      <c r="M34" s="298"/>
      <c r="N34" s="299"/>
      <c r="O34" s="298"/>
      <c r="P34" s="268"/>
      <c r="Q34" s="268"/>
      <c r="R34" s="191"/>
      <c r="S34" s="191"/>
      <c r="T34" s="319"/>
      <c r="U34" s="190"/>
      <c r="V34" s="193"/>
      <c r="W34" s="194"/>
      <c r="X34" s="194"/>
      <c r="Y34" s="194"/>
      <c r="Z34" s="332"/>
      <c r="AA34" s="332"/>
      <c r="AB34" s="333"/>
      <c r="AC34" s="332"/>
      <c r="AD34" s="304"/>
      <c r="AE34" s="217"/>
    </row>
    <row r="35" spans="1:31" ht="16.5" thickBot="1">
      <c r="A35" s="185"/>
      <c r="B35" s="186"/>
      <c r="C35" s="186"/>
      <c r="D35" s="187"/>
      <c r="E35" s="187"/>
      <c r="F35" s="188"/>
      <c r="G35" s="189"/>
      <c r="H35" s="299"/>
      <c r="I35" s="298"/>
      <c r="J35" s="299"/>
      <c r="K35" s="298"/>
      <c r="L35" s="299"/>
      <c r="M35" s="298"/>
      <c r="N35" s="299"/>
      <c r="O35" s="298"/>
      <c r="P35" s="268"/>
      <c r="Q35" s="268"/>
      <c r="R35" s="191"/>
      <c r="S35" s="191"/>
      <c r="T35" s="318"/>
      <c r="U35" s="190"/>
      <c r="V35" s="193"/>
      <c r="W35" s="194"/>
      <c r="X35" s="194"/>
      <c r="Y35" s="194"/>
      <c r="Z35" s="334"/>
      <c r="AA35" s="334"/>
      <c r="AB35" s="335"/>
      <c r="AC35" s="334"/>
      <c r="AD35" s="304"/>
      <c r="AE35" s="217"/>
    </row>
    <row r="36" spans="1:31" ht="16.5" thickBot="1">
      <c r="A36" s="185"/>
      <c r="B36" s="186"/>
      <c r="C36" s="186"/>
      <c r="D36" s="187"/>
      <c r="E36" s="187"/>
      <c r="F36" s="188"/>
      <c r="G36" s="189"/>
      <c r="H36" s="299"/>
      <c r="I36" s="298"/>
      <c r="J36" s="299"/>
      <c r="K36" s="298"/>
      <c r="L36" s="299"/>
      <c r="M36" s="298"/>
      <c r="N36" s="299"/>
      <c r="O36" s="298"/>
      <c r="P36" s="268"/>
      <c r="Q36" s="268"/>
      <c r="R36" s="191"/>
      <c r="S36" s="191"/>
      <c r="T36" s="218"/>
      <c r="U36" s="191"/>
      <c r="V36" s="191"/>
      <c r="W36" s="194"/>
      <c r="X36" s="194"/>
      <c r="Y36" s="194"/>
      <c r="Z36" s="332"/>
      <c r="AA36" s="332"/>
      <c r="AB36" s="333"/>
      <c r="AC36" s="332"/>
      <c r="AD36" s="337"/>
      <c r="AE36" s="218"/>
    </row>
    <row r="37" spans="1:31" ht="16.5" thickBot="1">
      <c r="A37" s="185"/>
      <c r="B37" s="186"/>
      <c r="C37" s="186"/>
      <c r="D37" s="187"/>
      <c r="E37" s="187"/>
      <c r="F37" s="188"/>
      <c r="G37" s="189"/>
      <c r="H37" s="299"/>
      <c r="I37" s="298"/>
      <c r="J37" s="299"/>
      <c r="K37" s="298"/>
      <c r="L37" s="299"/>
      <c r="M37" s="298"/>
      <c r="N37" s="299"/>
      <c r="O37" s="298"/>
      <c r="P37" s="268"/>
      <c r="Q37" s="268"/>
      <c r="R37" s="191"/>
      <c r="S37" s="191"/>
      <c r="T37" s="290"/>
      <c r="U37" s="191"/>
      <c r="V37" s="191"/>
      <c r="W37" s="194"/>
      <c r="X37" s="194"/>
      <c r="Y37" s="194"/>
      <c r="Z37" s="334"/>
      <c r="AA37" s="334"/>
      <c r="AB37" s="335"/>
      <c r="AC37" s="334"/>
      <c r="AD37" s="304"/>
      <c r="AE37" s="217"/>
    </row>
    <row r="38" spans="1:31" ht="16.5" thickBot="1">
      <c r="A38" s="320"/>
      <c r="B38" s="321"/>
      <c r="C38" s="321"/>
      <c r="D38" s="322"/>
      <c r="E38" s="322"/>
      <c r="F38" s="323"/>
      <c r="G38" s="324"/>
      <c r="H38" s="325"/>
      <c r="I38" s="326"/>
      <c r="J38" s="325"/>
      <c r="K38" s="326"/>
      <c r="L38" s="325"/>
      <c r="M38" s="326"/>
      <c r="N38" s="325"/>
      <c r="O38" s="326"/>
      <c r="P38" s="327"/>
      <c r="Q38" s="327"/>
      <c r="R38" s="327"/>
      <c r="S38" s="327"/>
      <c r="T38" s="218"/>
      <c r="U38" s="327"/>
      <c r="V38" s="327"/>
      <c r="W38" s="328"/>
      <c r="X38" s="328"/>
      <c r="Y38" s="328"/>
      <c r="Z38" s="332"/>
      <c r="AA38" s="332"/>
      <c r="AB38" s="333"/>
      <c r="AC38" s="332"/>
      <c r="AD38" s="337"/>
      <c r="AE38" s="218"/>
    </row>
    <row r="39" spans="1:31" ht="16.5" thickBot="1">
      <c r="A39" s="185"/>
      <c r="B39" s="186"/>
      <c r="C39" s="186"/>
      <c r="D39" s="187"/>
      <c r="E39" s="187"/>
      <c r="F39" s="188"/>
      <c r="G39" s="189"/>
      <c r="H39" s="299"/>
      <c r="I39" s="298"/>
      <c r="J39" s="299"/>
      <c r="K39" s="298"/>
      <c r="L39" s="299"/>
      <c r="M39" s="298"/>
      <c r="N39" s="299"/>
      <c r="O39" s="298"/>
      <c r="P39" s="268"/>
      <c r="Q39" s="268"/>
      <c r="R39" s="191"/>
      <c r="S39" s="191"/>
      <c r="T39" s="218"/>
      <c r="U39" s="191"/>
      <c r="V39" s="191"/>
      <c r="W39" s="194"/>
      <c r="X39" s="194"/>
      <c r="Y39" s="194"/>
      <c r="Z39" s="334"/>
      <c r="AA39" s="334"/>
      <c r="AB39" s="335"/>
      <c r="AC39" s="334"/>
      <c r="AD39" s="336"/>
      <c r="AE39" s="218"/>
    </row>
    <row r="40" spans="1:31" ht="16.5" thickBot="1">
      <c r="A40" s="185"/>
      <c r="B40" s="186"/>
      <c r="C40" s="186"/>
      <c r="D40" s="187"/>
      <c r="E40" s="187"/>
      <c r="F40" s="188"/>
      <c r="G40" s="189"/>
      <c r="H40" s="299"/>
      <c r="I40" s="298"/>
      <c r="J40" s="299"/>
      <c r="K40" s="298"/>
      <c r="L40" s="299"/>
      <c r="M40" s="298"/>
      <c r="N40" s="299"/>
      <c r="O40" s="298"/>
      <c r="P40" s="268"/>
      <c r="Q40" s="268"/>
      <c r="R40" s="191"/>
      <c r="S40" s="191"/>
      <c r="T40" s="218"/>
      <c r="U40" s="191"/>
      <c r="V40" s="191"/>
      <c r="W40" s="194"/>
      <c r="X40" s="194"/>
      <c r="Y40" s="194"/>
      <c r="Z40" s="332"/>
      <c r="AA40" s="332"/>
      <c r="AB40" s="333"/>
      <c r="AC40" s="332"/>
      <c r="AD40" s="337"/>
      <c r="AE40" s="218"/>
    </row>
    <row r="41" spans="1:31" ht="16.5" thickBot="1">
      <c r="A41" s="185"/>
      <c r="B41" s="186"/>
      <c r="C41" s="186"/>
      <c r="D41" s="187"/>
      <c r="E41" s="187"/>
      <c r="F41" s="188"/>
      <c r="G41" s="189"/>
      <c r="H41" s="299"/>
      <c r="I41" s="298"/>
      <c r="J41" s="299"/>
      <c r="K41" s="298"/>
      <c r="L41" s="299"/>
      <c r="M41" s="298"/>
      <c r="N41" s="299"/>
      <c r="O41" s="298"/>
      <c r="P41" s="268"/>
      <c r="Q41" s="268"/>
      <c r="R41" s="191"/>
      <c r="S41" s="191"/>
      <c r="T41" s="218"/>
      <c r="U41" s="191"/>
      <c r="V41" s="191"/>
      <c r="W41" s="194"/>
      <c r="X41" s="194"/>
      <c r="Y41" s="194"/>
      <c r="Z41" s="334"/>
      <c r="AA41" s="334"/>
      <c r="AB41" s="335"/>
      <c r="AC41" s="334"/>
      <c r="AD41" s="336"/>
      <c r="AE41" s="218"/>
    </row>
    <row r="42" spans="1:31" ht="16.5" thickBot="1">
      <c r="A42" s="185"/>
      <c r="B42" s="186"/>
      <c r="C42" s="186"/>
      <c r="D42" s="187"/>
      <c r="E42" s="187"/>
      <c r="F42" s="188"/>
      <c r="G42" s="189"/>
      <c r="H42" s="299"/>
      <c r="I42" s="298"/>
      <c r="J42" s="299"/>
      <c r="K42" s="298"/>
      <c r="L42" s="299"/>
      <c r="M42" s="298"/>
      <c r="N42" s="299"/>
      <c r="O42" s="298"/>
      <c r="P42" s="268"/>
      <c r="Q42" s="268"/>
      <c r="R42" s="191"/>
      <c r="S42" s="191"/>
      <c r="T42" s="218"/>
      <c r="U42" s="191"/>
      <c r="V42" s="191"/>
      <c r="W42" s="194"/>
      <c r="X42" s="194"/>
      <c r="Y42" s="194"/>
      <c r="Z42" s="332"/>
      <c r="AA42" s="332"/>
      <c r="AB42" s="333"/>
      <c r="AC42" s="332"/>
      <c r="AD42" s="337"/>
      <c r="AE42" s="218"/>
    </row>
    <row r="43" spans="1:31" ht="16.5" thickBot="1">
      <c r="A43" s="185"/>
      <c r="B43" s="186"/>
      <c r="C43" s="186"/>
      <c r="D43" s="187"/>
      <c r="E43" s="187"/>
      <c r="F43" s="188"/>
      <c r="G43" s="189"/>
      <c r="H43" s="299"/>
      <c r="I43" s="298"/>
      <c r="J43" s="299"/>
      <c r="K43" s="298"/>
      <c r="L43" s="299"/>
      <c r="M43" s="298"/>
      <c r="N43" s="299"/>
      <c r="O43" s="298"/>
      <c r="P43" s="299"/>
      <c r="Q43" s="298"/>
      <c r="R43" s="190"/>
      <c r="S43" s="193"/>
      <c r="T43" s="218"/>
      <c r="U43" s="191"/>
      <c r="V43" s="191"/>
      <c r="W43" s="194"/>
      <c r="X43" s="194"/>
      <c r="Y43" s="194"/>
      <c r="Z43" s="334"/>
      <c r="AA43" s="334"/>
      <c r="AB43" s="335"/>
      <c r="AC43" s="334"/>
      <c r="AD43" s="336"/>
      <c r="AE43" s="218"/>
    </row>
    <row r="44" spans="1:31" ht="16.5" thickBot="1">
      <c r="A44" s="185"/>
      <c r="B44" s="186"/>
      <c r="C44" s="186"/>
      <c r="D44" s="187"/>
      <c r="E44" s="187"/>
      <c r="F44" s="188"/>
      <c r="G44" s="189"/>
      <c r="H44" s="299"/>
      <c r="I44" s="298"/>
      <c r="J44" s="299"/>
      <c r="K44" s="298"/>
      <c r="L44" s="299"/>
      <c r="M44" s="298"/>
      <c r="N44" s="299"/>
      <c r="O44" s="298"/>
      <c r="P44" s="268"/>
      <c r="Q44" s="268"/>
      <c r="R44" s="191"/>
      <c r="S44" s="191"/>
      <c r="T44" s="218"/>
      <c r="U44" s="191"/>
      <c r="V44" s="191"/>
      <c r="W44" s="194"/>
      <c r="X44" s="194"/>
      <c r="Y44" s="194"/>
      <c r="Z44" s="332"/>
      <c r="AA44" s="332"/>
      <c r="AB44" s="333"/>
      <c r="AC44" s="332"/>
      <c r="AD44" s="337"/>
      <c r="AE44" s="218"/>
    </row>
    <row r="45" spans="1:31" ht="16.5" thickBot="1">
      <c r="A45" s="185"/>
      <c r="B45" s="186"/>
      <c r="C45" s="186"/>
      <c r="D45" s="187"/>
      <c r="E45" s="187"/>
      <c r="F45" s="188"/>
      <c r="G45" s="189"/>
      <c r="H45" s="299"/>
      <c r="I45" s="298"/>
      <c r="J45" s="299"/>
      <c r="K45" s="298"/>
      <c r="L45" s="299"/>
      <c r="M45" s="298"/>
      <c r="N45" s="299"/>
      <c r="O45" s="298"/>
      <c r="P45" s="268"/>
      <c r="Q45" s="268"/>
      <c r="R45" s="191"/>
      <c r="S45" s="191"/>
      <c r="T45" s="218"/>
      <c r="U45" s="191"/>
      <c r="V45" s="191"/>
      <c r="W45" s="194"/>
      <c r="X45" s="194"/>
      <c r="Y45" s="194"/>
      <c r="Z45" s="334"/>
      <c r="AA45" s="334"/>
      <c r="AB45" s="335"/>
      <c r="AC45" s="334"/>
      <c r="AD45" s="336"/>
      <c r="AE45" s="218"/>
    </row>
    <row r="46" spans="1:31" ht="16.5" thickBot="1">
      <c r="A46" s="185"/>
      <c r="B46" s="186"/>
      <c r="C46" s="186"/>
      <c r="D46" s="187"/>
      <c r="E46" s="187"/>
      <c r="F46" s="188"/>
      <c r="G46" s="189"/>
      <c r="H46" s="299"/>
      <c r="I46" s="298"/>
      <c r="J46" s="299"/>
      <c r="K46" s="298"/>
      <c r="L46" s="299"/>
      <c r="M46" s="298"/>
      <c r="N46" s="299"/>
      <c r="O46" s="298"/>
      <c r="P46" s="299"/>
      <c r="Q46" s="298"/>
      <c r="R46" s="191"/>
      <c r="S46" s="191"/>
      <c r="T46" s="218"/>
      <c r="U46" s="191"/>
      <c r="V46" s="191"/>
      <c r="W46" s="194"/>
      <c r="X46" s="194"/>
      <c r="Y46" s="194"/>
      <c r="Z46" s="332"/>
      <c r="AA46" s="332"/>
      <c r="AB46" s="333"/>
      <c r="AC46" s="332"/>
      <c r="AD46" s="337"/>
      <c r="AE46" s="218"/>
    </row>
    <row r="47" spans="1:31" ht="16.5" thickBot="1">
      <c r="A47" s="185"/>
      <c r="B47" s="186"/>
      <c r="C47" s="186"/>
      <c r="D47" s="187"/>
      <c r="E47" s="187"/>
      <c r="F47" s="188"/>
      <c r="G47" s="189"/>
      <c r="H47" s="299"/>
      <c r="I47" s="298"/>
      <c r="J47" s="299"/>
      <c r="K47" s="298"/>
      <c r="L47" s="299"/>
      <c r="M47" s="298"/>
      <c r="N47" s="299"/>
      <c r="O47" s="298"/>
      <c r="P47" s="268"/>
      <c r="Q47" s="268"/>
      <c r="R47" s="191"/>
      <c r="S47" s="191"/>
      <c r="T47" s="218"/>
      <c r="U47" s="191"/>
      <c r="V47" s="191"/>
      <c r="W47" s="194"/>
      <c r="X47" s="194"/>
      <c r="Y47" s="194"/>
      <c r="Z47" s="334"/>
      <c r="AA47" s="334"/>
      <c r="AB47" s="335"/>
      <c r="AC47" s="334"/>
      <c r="AD47" s="336"/>
      <c r="AE47" s="218"/>
    </row>
    <row r="48" spans="1:31" ht="16.5" thickBot="1">
      <c r="A48" s="185"/>
      <c r="B48" s="186"/>
      <c r="C48" s="186"/>
      <c r="D48" s="187"/>
      <c r="E48" s="187"/>
      <c r="F48" s="188"/>
      <c r="G48" s="189"/>
      <c r="H48" s="299"/>
      <c r="I48" s="298"/>
      <c r="J48" s="299"/>
      <c r="K48" s="298"/>
      <c r="L48" s="299"/>
      <c r="M48" s="298"/>
      <c r="N48" s="299"/>
      <c r="O48" s="298"/>
      <c r="P48" s="299"/>
      <c r="Q48" s="298"/>
      <c r="R48" s="191"/>
      <c r="S48" s="191"/>
      <c r="T48" s="218"/>
      <c r="U48" s="191"/>
      <c r="V48" s="191"/>
      <c r="W48" s="194"/>
      <c r="X48" s="194"/>
      <c r="Y48" s="194"/>
      <c r="Z48" s="332"/>
      <c r="AA48" s="332"/>
      <c r="AB48" s="333"/>
      <c r="AC48" s="332"/>
      <c r="AD48" s="337"/>
      <c r="AE48" s="218"/>
    </row>
    <row r="49" spans="1:31" ht="16.5" thickBot="1">
      <c r="A49" s="185"/>
      <c r="B49" s="186"/>
      <c r="C49" s="186"/>
      <c r="D49" s="187"/>
      <c r="E49" s="187"/>
      <c r="F49" s="188"/>
      <c r="G49" s="189"/>
      <c r="H49" s="299"/>
      <c r="I49" s="298"/>
      <c r="J49" s="299"/>
      <c r="K49" s="298"/>
      <c r="L49" s="299"/>
      <c r="M49" s="298"/>
      <c r="N49" s="299"/>
      <c r="O49" s="298"/>
      <c r="P49" s="268"/>
      <c r="Q49" s="268"/>
      <c r="R49" s="191"/>
      <c r="S49" s="191"/>
      <c r="T49" s="218"/>
      <c r="U49" s="191"/>
      <c r="V49" s="191"/>
      <c r="W49" s="194"/>
      <c r="X49" s="194"/>
      <c r="Y49" s="194"/>
      <c r="Z49" s="334"/>
      <c r="AA49" s="334"/>
      <c r="AB49" s="335"/>
      <c r="AC49" s="334"/>
      <c r="AD49" s="336"/>
      <c r="AE49" s="218"/>
    </row>
    <row r="50" spans="1:31" ht="16.5" thickBot="1">
      <c r="A50" s="185"/>
      <c r="B50" s="186"/>
      <c r="C50" s="186"/>
      <c r="D50" s="187"/>
      <c r="E50" s="187"/>
      <c r="F50" s="188"/>
      <c r="G50" s="189"/>
      <c r="H50" s="299"/>
      <c r="I50" s="298"/>
      <c r="J50" s="299"/>
      <c r="K50" s="298"/>
      <c r="L50" s="299"/>
      <c r="M50" s="298"/>
      <c r="N50" s="299"/>
      <c r="O50" s="298"/>
      <c r="P50" s="299"/>
      <c r="Q50" s="298"/>
      <c r="R50" s="191"/>
      <c r="S50" s="191"/>
      <c r="T50" s="218"/>
      <c r="U50" s="191"/>
      <c r="V50" s="191"/>
      <c r="W50" s="194"/>
      <c r="X50" s="194"/>
      <c r="Y50" s="194"/>
      <c r="Z50" s="332"/>
      <c r="AA50" s="332"/>
      <c r="AB50" s="333"/>
      <c r="AC50" s="332"/>
      <c r="AD50" s="337"/>
      <c r="AE50" s="218"/>
    </row>
    <row r="51" spans="1:31" ht="16.5" thickBot="1">
      <c r="A51" s="185"/>
      <c r="B51" s="186"/>
      <c r="C51" s="186"/>
      <c r="D51" s="187"/>
      <c r="E51" s="187"/>
      <c r="F51" s="188"/>
      <c r="G51" s="189"/>
      <c r="H51" s="299"/>
      <c r="I51" s="298"/>
      <c r="J51" s="299"/>
      <c r="K51" s="298"/>
      <c r="L51" s="299"/>
      <c r="M51" s="298"/>
      <c r="N51" s="299"/>
      <c r="O51" s="298"/>
      <c r="P51" s="299"/>
      <c r="Q51" s="298"/>
      <c r="R51" s="191"/>
      <c r="S51" s="191"/>
      <c r="T51" s="290"/>
      <c r="U51" s="191"/>
      <c r="V51" s="191"/>
      <c r="W51" s="194"/>
      <c r="X51" s="194"/>
      <c r="Y51" s="194"/>
      <c r="Z51" s="334"/>
      <c r="AA51" s="334"/>
      <c r="AB51" s="335"/>
      <c r="AC51" s="334"/>
      <c r="AD51" s="304"/>
      <c r="AE51" s="217"/>
    </row>
    <row r="52" spans="1:31" ht="16.5" thickBot="1">
      <c r="A52" s="185"/>
      <c r="B52" s="186"/>
      <c r="C52" s="186"/>
      <c r="D52" s="187"/>
      <c r="E52" s="187"/>
      <c r="F52" s="188"/>
      <c r="G52" s="189"/>
      <c r="H52" s="299"/>
      <c r="I52" s="298"/>
      <c r="J52" s="299"/>
      <c r="K52" s="298"/>
      <c r="L52" s="299"/>
      <c r="M52" s="298"/>
      <c r="N52" s="299"/>
      <c r="O52" s="298"/>
      <c r="P52" s="268"/>
      <c r="Q52" s="268"/>
      <c r="R52" s="191"/>
      <c r="S52" s="191"/>
      <c r="T52" s="218"/>
      <c r="U52" s="191"/>
      <c r="V52" s="191"/>
      <c r="W52" s="194"/>
      <c r="X52" s="194"/>
      <c r="Y52" s="194"/>
      <c r="Z52" s="332"/>
      <c r="AA52" s="332"/>
      <c r="AB52" s="333"/>
      <c r="AC52" s="332"/>
      <c r="AD52" s="337"/>
      <c r="AE52" s="218"/>
    </row>
    <row r="53" spans="1:31" ht="16.5" thickBot="1">
      <c r="A53" s="185"/>
      <c r="B53" s="186"/>
      <c r="C53" s="186"/>
      <c r="D53" s="187"/>
      <c r="E53" s="187"/>
      <c r="F53" s="188"/>
      <c r="G53" s="189"/>
      <c r="H53" s="299"/>
      <c r="I53" s="298"/>
      <c r="J53" s="299"/>
      <c r="K53" s="298"/>
      <c r="L53" s="299"/>
      <c r="M53" s="298"/>
      <c r="N53" s="299"/>
      <c r="O53" s="298"/>
      <c r="P53" s="268"/>
      <c r="Q53" s="268"/>
      <c r="R53" s="191"/>
      <c r="S53" s="191"/>
      <c r="T53" s="218"/>
      <c r="U53" s="191"/>
      <c r="V53" s="191"/>
      <c r="W53" s="194"/>
      <c r="X53" s="194"/>
      <c r="Y53" s="194"/>
      <c r="Z53" s="334"/>
      <c r="AA53" s="334"/>
      <c r="AB53" s="335"/>
      <c r="AC53" s="334"/>
      <c r="AD53" s="336"/>
      <c r="AE53" s="218"/>
    </row>
    <row r="54" spans="1:31" ht="16.5" thickBot="1">
      <c r="A54" s="185"/>
      <c r="B54" s="186"/>
      <c r="C54" s="186"/>
      <c r="D54" s="187"/>
      <c r="E54" s="187"/>
      <c r="F54" s="188"/>
      <c r="G54" s="189"/>
      <c r="H54" s="299"/>
      <c r="I54" s="298"/>
      <c r="J54" s="299"/>
      <c r="K54" s="298"/>
      <c r="L54" s="299"/>
      <c r="M54" s="298"/>
      <c r="N54" s="299"/>
      <c r="O54" s="298"/>
      <c r="P54" s="268"/>
      <c r="Q54" s="268"/>
      <c r="R54" s="191"/>
      <c r="S54" s="191"/>
      <c r="T54" s="318"/>
      <c r="U54" s="190"/>
      <c r="V54" s="193"/>
      <c r="W54" s="194"/>
      <c r="X54" s="194"/>
      <c r="Y54" s="194"/>
      <c r="Z54" s="332"/>
      <c r="AA54" s="332"/>
      <c r="AB54" s="333"/>
      <c r="AC54" s="332"/>
      <c r="AD54" s="304"/>
      <c r="AE54" s="217"/>
    </row>
    <row r="55" spans="1:31" ht="16.5" thickBot="1">
      <c r="A55" s="320"/>
      <c r="B55" s="321"/>
      <c r="C55" s="321"/>
      <c r="D55" s="322"/>
      <c r="E55" s="322"/>
      <c r="F55" s="323"/>
      <c r="G55" s="329"/>
      <c r="H55" s="325"/>
      <c r="I55" s="326"/>
      <c r="J55" s="325"/>
      <c r="K55" s="326"/>
      <c r="L55" s="325"/>
      <c r="M55" s="326"/>
      <c r="N55" s="325"/>
      <c r="O55" s="326"/>
      <c r="P55" s="327"/>
      <c r="Q55" s="327"/>
      <c r="R55" s="327"/>
      <c r="S55" s="327"/>
      <c r="T55" s="218"/>
      <c r="U55" s="327"/>
      <c r="V55" s="327"/>
      <c r="W55" s="328"/>
      <c r="X55" s="328"/>
      <c r="Y55" s="328"/>
      <c r="Z55" s="334"/>
      <c r="AA55" s="334"/>
      <c r="AB55" s="335"/>
      <c r="AC55" s="334"/>
      <c r="AD55" s="336"/>
      <c r="AE55" s="218"/>
    </row>
    <row r="56" spans="1:31" ht="16.5" thickBot="1">
      <c r="A56" s="185"/>
      <c r="B56" s="186"/>
      <c r="C56" s="186"/>
      <c r="D56" s="187"/>
      <c r="E56" s="187"/>
      <c r="F56" s="188"/>
      <c r="G56" s="189"/>
      <c r="H56" s="299"/>
      <c r="I56" s="298"/>
      <c r="J56" s="299"/>
      <c r="K56" s="298"/>
      <c r="L56" s="299"/>
      <c r="M56" s="298"/>
      <c r="N56" s="299"/>
      <c r="O56" s="298"/>
      <c r="P56" s="268"/>
      <c r="Q56" s="268"/>
      <c r="R56" s="191"/>
      <c r="S56" s="191"/>
      <c r="T56" s="218"/>
      <c r="U56" s="191"/>
      <c r="V56" s="191"/>
      <c r="W56" s="194"/>
      <c r="X56" s="194"/>
      <c r="Y56" s="194"/>
      <c r="Z56" s="338"/>
      <c r="AA56" s="338"/>
      <c r="AB56" s="339"/>
      <c r="AC56" s="338"/>
      <c r="AD56" s="340"/>
      <c r="AE56" s="218"/>
    </row>
    <row r="57" spans="1:31" ht="16.5" thickBot="1">
      <c r="A57" s="185"/>
      <c r="B57" s="186"/>
      <c r="C57" s="186"/>
      <c r="D57" s="187"/>
      <c r="E57" s="187"/>
      <c r="F57" s="188"/>
      <c r="G57" s="189"/>
      <c r="H57" s="299"/>
      <c r="I57" s="298"/>
      <c r="J57" s="299"/>
      <c r="K57" s="298"/>
      <c r="L57" s="299"/>
      <c r="M57" s="298"/>
      <c r="N57" s="299"/>
      <c r="O57" s="298"/>
      <c r="P57" s="268"/>
      <c r="Q57" s="268"/>
      <c r="R57" s="191"/>
      <c r="S57" s="191"/>
      <c r="T57" s="218"/>
      <c r="U57" s="191"/>
      <c r="V57" s="191"/>
      <c r="W57" s="194"/>
      <c r="X57" s="194"/>
      <c r="Y57" s="194"/>
      <c r="Z57" s="341"/>
      <c r="AA57" s="341"/>
      <c r="AB57" s="342"/>
      <c r="AC57" s="341"/>
      <c r="AD57" s="343"/>
      <c r="AE57" s="218"/>
    </row>
    <row r="58" spans="1:31" ht="16.5" thickBot="1">
      <c r="A58" s="185"/>
      <c r="B58" s="186"/>
      <c r="C58" s="186"/>
      <c r="D58" s="187"/>
      <c r="E58" s="187"/>
      <c r="F58" s="188"/>
      <c r="G58" s="189"/>
      <c r="H58" s="299"/>
      <c r="I58" s="298"/>
      <c r="J58" s="299"/>
      <c r="K58" s="298"/>
      <c r="L58" s="299"/>
      <c r="M58" s="298"/>
      <c r="N58" s="299"/>
      <c r="O58" s="298"/>
      <c r="P58" s="268"/>
      <c r="Q58" s="268"/>
      <c r="R58" s="191"/>
      <c r="S58" s="191"/>
      <c r="T58" s="290"/>
      <c r="U58" s="191"/>
      <c r="V58" s="191"/>
      <c r="W58" s="194"/>
      <c r="X58" s="194"/>
      <c r="Y58" s="194"/>
      <c r="Z58" s="332"/>
      <c r="AA58" s="332"/>
      <c r="AB58" s="333"/>
      <c r="AC58" s="332"/>
      <c r="AD58" s="304"/>
      <c r="AE58" s="217"/>
    </row>
    <row r="59" spans="1:31" ht="16.5" thickBot="1">
      <c r="A59" s="185"/>
      <c r="B59" s="186"/>
      <c r="C59" s="186"/>
      <c r="D59" s="187"/>
      <c r="E59" s="187"/>
      <c r="F59" s="188"/>
      <c r="G59" s="189"/>
      <c r="H59" s="299"/>
      <c r="I59" s="298"/>
      <c r="J59" s="299"/>
      <c r="K59" s="298"/>
      <c r="L59" s="299"/>
      <c r="M59" s="298"/>
      <c r="N59" s="299"/>
      <c r="O59" s="298"/>
      <c r="P59" s="268"/>
      <c r="Q59" s="268"/>
      <c r="R59" s="191"/>
      <c r="S59" s="191"/>
      <c r="T59" s="218"/>
      <c r="U59" s="191"/>
      <c r="V59" s="191"/>
      <c r="W59" s="194"/>
      <c r="X59" s="194"/>
      <c r="Y59" s="194"/>
      <c r="Z59" s="341"/>
      <c r="AA59" s="341"/>
      <c r="AB59" s="342"/>
      <c r="AC59" s="341"/>
      <c r="AD59" s="343"/>
      <c r="AE59" s="218"/>
    </row>
    <row r="60" spans="1:31" ht="16.5" thickBot="1">
      <c r="A60" s="185"/>
      <c r="B60" s="186"/>
      <c r="C60" s="186"/>
      <c r="D60" s="187"/>
      <c r="E60" s="187"/>
      <c r="F60" s="188"/>
      <c r="G60" s="195"/>
      <c r="H60" s="299"/>
      <c r="I60" s="298"/>
      <c r="J60" s="299"/>
      <c r="K60" s="298"/>
      <c r="L60" s="299"/>
      <c r="M60" s="298"/>
      <c r="N60" s="299"/>
      <c r="O60" s="298"/>
      <c r="P60" s="268"/>
      <c r="Q60" s="268"/>
      <c r="R60" s="191"/>
      <c r="S60" s="191"/>
      <c r="T60" s="218"/>
      <c r="U60" s="191"/>
      <c r="V60" s="191"/>
      <c r="W60" s="194"/>
      <c r="X60" s="194"/>
      <c r="Y60" s="194"/>
      <c r="Z60" s="338"/>
      <c r="AA60" s="338"/>
      <c r="AB60" s="339"/>
      <c r="AC60" s="338"/>
      <c r="AD60" s="340"/>
      <c r="AE60" s="218"/>
    </row>
    <row r="61" spans="1:31" ht="16.5" thickBot="1">
      <c r="A61" s="185"/>
      <c r="B61" s="186"/>
      <c r="C61" s="186"/>
      <c r="D61" s="187"/>
      <c r="E61" s="187"/>
      <c r="F61" s="188"/>
      <c r="G61" s="195"/>
      <c r="H61" s="299"/>
      <c r="I61" s="298"/>
      <c r="J61" s="299"/>
      <c r="K61" s="298"/>
      <c r="L61" s="299"/>
      <c r="M61" s="298"/>
      <c r="N61" s="299"/>
      <c r="O61" s="298"/>
      <c r="P61" s="268"/>
      <c r="Q61" s="268"/>
      <c r="R61" s="191"/>
      <c r="S61" s="191"/>
      <c r="T61" s="218"/>
      <c r="U61" s="191"/>
      <c r="V61" s="191"/>
      <c r="W61" s="194"/>
      <c r="X61" s="194"/>
      <c r="Y61" s="194"/>
      <c r="Z61" s="341"/>
      <c r="AA61" s="341"/>
      <c r="AB61" s="342"/>
      <c r="AC61" s="341"/>
      <c r="AD61" s="343"/>
      <c r="AE61" s="218"/>
    </row>
    <row r="62" spans="1:31" ht="16.5" thickBot="1">
      <c r="A62" s="185"/>
      <c r="B62" s="186"/>
      <c r="C62" s="186"/>
      <c r="D62" s="187"/>
      <c r="E62" s="187"/>
      <c r="F62" s="188"/>
      <c r="G62" s="189"/>
      <c r="H62" s="299"/>
      <c r="I62" s="298"/>
      <c r="J62" s="299"/>
      <c r="K62" s="298"/>
      <c r="L62" s="299"/>
      <c r="M62" s="298"/>
      <c r="N62" s="299"/>
      <c r="O62" s="298"/>
      <c r="P62" s="268"/>
      <c r="Q62" s="268"/>
      <c r="R62" s="191"/>
      <c r="S62" s="191"/>
      <c r="T62" s="318"/>
      <c r="U62" s="190"/>
      <c r="V62" s="193"/>
      <c r="W62" s="194"/>
      <c r="X62" s="194"/>
      <c r="Y62" s="194"/>
      <c r="Z62" s="332"/>
      <c r="AA62" s="332"/>
      <c r="AB62" s="333"/>
      <c r="AC62" s="332"/>
      <c r="AD62" s="304"/>
      <c r="AE62" s="217"/>
    </row>
    <row r="63" spans="1:31" ht="16.5" thickBot="1">
      <c r="A63" s="185"/>
      <c r="B63" s="186"/>
      <c r="C63" s="186"/>
      <c r="D63" s="187"/>
      <c r="E63" s="187"/>
      <c r="F63" s="188"/>
      <c r="G63" s="189"/>
      <c r="H63" s="299"/>
      <c r="I63" s="298"/>
      <c r="J63" s="299"/>
      <c r="K63" s="298"/>
      <c r="L63" s="299"/>
      <c r="M63" s="298"/>
      <c r="N63" s="299"/>
      <c r="O63" s="298"/>
      <c r="P63" s="299"/>
      <c r="Q63" s="298"/>
      <c r="R63" s="191"/>
      <c r="S63" s="191"/>
      <c r="T63" s="290"/>
      <c r="U63" s="191"/>
      <c r="V63" s="191"/>
      <c r="W63" s="194"/>
      <c r="X63" s="194"/>
      <c r="Y63" s="194"/>
      <c r="Z63" s="341"/>
      <c r="AA63" s="341"/>
      <c r="AB63" s="342"/>
      <c r="AC63" s="341"/>
      <c r="AD63" s="343"/>
      <c r="AE63" s="217"/>
    </row>
    <row r="64" spans="1:31" ht="16.5" thickBot="1">
      <c r="A64" s="185"/>
      <c r="B64" s="186"/>
      <c r="C64" s="186"/>
      <c r="D64" s="187"/>
      <c r="E64" s="187"/>
      <c r="F64" s="188"/>
      <c r="G64" s="189"/>
      <c r="H64" s="299"/>
      <c r="I64" s="298"/>
      <c r="J64" s="299"/>
      <c r="K64" s="298"/>
      <c r="L64" s="299"/>
      <c r="M64" s="298"/>
      <c r="N64" s="299"/>
      <c r="O64" s="298"/>
      <c r="P64" s="268"/>
      <c r="Q64" s="268"/>
      <c r="R64" s="191"/>
      <c r="S64" s="191"/>
      <c r="T64" s="218"/>
      <c r="U64" s="191"/>
      <c r="V64" s="191"/>
      <c r="W64" s="194"/>
      <c r="X64" s="194"/>
      <c r="Y64" s="194"/>
      <c r="Z64" s="338"/>
      <c r="AA64" s="338"/>
      <c r="AB64" s="339"/>
      <c r="AC64" s="338"/>
      <c r="AD64" s="340"/>
      <c r="AE64" s="218"/>
    </row>
    <row r="65" spans="1:31" ht="16.5" thickBot="1">
      <c r="A65" s="185"/>
      <c r="B65" s="186"/>
      <c r="C65" s="186"/>
      <c r="D65" s="187"/>
      <c r="E65" s="187"/>
      <c r="F65" s="188"/>
      <c r="G65" s="189"/>
      <c r="H65" s="299"/>
      <c r="I65" s="298"/>
      <c r="J65" s="299"/>
      <c r="K65" s="298"/>
      <c r="L65" s="299"/>
      <c r="M65" s="298"/>
      <c r="N65" s="299"/>
      <c r="O65" s="298"/>
      <c r="P65" s="299"/>
      <c r="Q65" s="298"/>
      <c r="R65" s="191"/>
      <c r="S65" s="191"/>
      <c r="T65" s="290"/>
      <c r="U65" s="191"/>
      <c r="V65" s="191"/>
      <c r="W65" s="194"/>
      <c r="X65" s="194"/>
      <c r="Y65" s="194"/>
      <c r="Z65" s="341"/>
      <c r="AA65" s="341"/>
      <c r="AB65" s="342"/>
      <c r="AC65" s="341"/>
      <c r="AD65" s="343"/>
      <c r="AE65" s="217"/>
    </row>
    <row r="66" spans="1:31" ht="13.5" thickBot="1">
      <c r="A66" s="330"/>
      <c r="B66" s="204"/>
      <c r="C66" s="204"/>
      <c r="D66" s="204"/>
      <c r="E66" s="204"/>
      <c r="F66" s="204"/>
      <c r="G66" s="204"/>
      <c r="H66" s="204"/>
      <c r="I66" s="204"/>
      <c r="J66" s="204"/>
      <c r="K66" s="204"/>
      <c r="L66" s="204"/>
      <c r="M66" s="204"/>
      <c r="N66" s="204"/>
      <c r="O66" s="20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</row>
    <row r="67" spans="1:31" ht="13.5" thickBot="1">
      <c r="A67" s="197">
        <v>64</v>
      </c>
      <c r="B67" s="198"/>
      <c r="C67" s="198"/>
      <c r="D67" s="199"/>
      <c r="E67" s="199"/>
      <c r="F67" s="199"/>
      <c r="G67" s="199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</row>
    <row r="68" spans="1:31" ht="13.5" thickBot="1">
      <c r="A68" s="197">
        <v>65</v>
      </c>
      <c r="B68" s="198"/>
      <c r="C68" s="198"/>
      <c r="D68" s="331" t="s">
        <v>740</v>
      </c>
      <c r="E68" s="199"/>
      <c r="F68" s="199"/>
      <c r="G68" s="199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</row>
    <row r="69" spans="1:31" ht="13.5" thickBot="1">
      <c r="A69" s="197">
        <v>66</v>
      </c>
      <c r="B69" s="198"/>
      <c r="C69" s="198"/>
      <c r="D69" s="199"/>
      <c r="E69" s="199"/>
      <c r="F69" s="199"/>
      <c r="G69" s="199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</row>
    <row r="70" spans="1:31" ht="13.5" thickBot="1">
      <c r="A70" s="197">
        <v>67</v>
      </c>
      <c r="B70" s="198"/>
      <c r="C70" s="198"/>
      <c r="D70" s="199"/>
      <c r="E70" s="199"/>
      <c r="F70" s="199"/>
      <c r="G70" s="199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</row>
    <row r="71" spans="1:31" ht="13.5" thickBot="1">
      <c r="A71" s="197">
        <v>68</v>
      </c>
      <c r="B71" s="198"/>
      <c r="C71" s="198"/>
      <c r="D71" s="199"/>
      <c r="E71" s="199"/>
      <c r="F71" s="198"/>
      <c r="G71" s="198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</row>
    <row r="72" spans="1:31" ht="13.5" thickBot="1">
      <c r="A72" s="197">
        <v>69</v>
      </c>
      <c r="B72" s="198"/>
      <c r="C72" s="198"/>
      <c r="D72" s="199"/>
      <c r="E72" s="199"/>
      <c r="F72" s="198"/>
      <c r="G72" s="198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</row>
    <row r="73" spans="1:31" ht="13.5" thickBot="1">
      <c r="A73" s="197">
        <v>70</v>
      </c>
      <c r="B73" s="198"/>
      <c r="C73" s="198"/>
      <c r="D73" s="199"/>
      <c r="E73" s="199"/>
      <c r="F73" s="198"/>
      <c r="G73" s="198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</row>
    <row r="74" spans="1:31" ht="13.5" thickBot="1">
      <c r="A74" s="197">
        <v>71</v>
      </c>
      <c r="B74" s="198"/>
      <c r="C74" s="198"/>
      <c r="D74" s="199"/>
      <c r="E74" s="199"/>
      <c r="F74" s="198"/>
      <c r="G74" s="198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</row>
    <row r="75" spans="1:31" ht="13.5" thickBot="1">
      <c r="A75" s="197">
        <v>72</v>
      </c>
      <c r="B75" s="200"/>
      <c r="C75" s="200"/>
      <c r="D75" s="201"/>
      <c r="E75" s="201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</row>
    <row r="76" spans="1:31" ht="13.5" thickBot="1">
      <c r="A76" s="197">
        <v>73</v>
      </c>
      <c r="B76" s="200"/>
      <c r="C76" s="200"/>
      <c r="D76" s="201"/>
      <c r="E76" s="201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</row>
    <row r="77" spans="1:31" ht="13.5" thickBot="1">
      <c r="A77" s="197">
        <v>74</v>
      </c>
      <c r="B77" s="198"/>
      <c r="C77" s="198"/>
      <c r="D77" s="201"/>
      <c r="E77" s="201"/>
      <c r="F77" s="201"/>
      <c r="G77" s="201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</row>
    <row r="78" spans="1:31" ht="13.5" thickBot="1">
      <c r="A78" s="197">
        <v>75</v>
      </c>
      <c r="B78" s="198"/>
      <c r="C78" s="198"/>
      <c r="D78" s="198"/>
      <c r="E78" s="201"/>
      <c r="F78" s="201"/>
      <c r="G78" s="201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</row>
    <row r="79" spans="1:31" ht="13.5" thickBot="1">
      <c r="A79" s="197">
        <v>76</v>
      </c>
      <c r="B79" s="198"/>
      <c r="C79" s="198"/>
      <c r="D79" s="198"/>
      <c r="E79" s="201"/>
      <c r="F79" s="201"/>
      <c r="G79" s="201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</row>
    <row r="80" spans="1:31" ht="13.5" thickBot="1">
      <c r="A80" s="197">
        <v>77</v>
      </c>
      <c r="B80" s="198"/>
      <c r="C80" s="198"/>
      <c r="D80" s="198"/>
      <c r="E80" s="201"/>
      <c r="F80" s="201"/>
      <c r="G80" s="201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</row>
    <row r="81" spans="1:31" ht="13.5" thickBot="1">
      <c r="A81" s="197">
        <v>78</v>
      </c>
      <c r="B81" s="198"/>
      <c r="C81" s="198"/>
      <c r="D81" s="198"/>
      <c r="E81" s="201"/>
      <c r="F81" s="201"/>
      <c r="G81" s="201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</row>
    <row r="82" spans="1:31" ht="13.5" thickBot="1">
      <c r="A82" s="197">
        <v>79</v>
      </c>
      <c r="B82" s="198"/>
      <c r="C82" s="198"/>
      <c r="D82" s="198"/>
      <c r="E82" s="201"/>
      <c r="F82" s="201"/>
      <c r="G82" s="201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</row>
    <row r="83" spans="1:31" ht="13.5" thickBot="1">
      <c r="A83" s="197">
        <v>80</v>
      </c>
      <c r="B83" s="198"/>
      <c r="C83" s="198"/>
      <c r="D83" s="198"/>
      <c r="E83" s="201"/>
      <c r="F83" s="201"/>
      <c r="G83" s="201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</row>
    <row r="84" spans="1:31" ht="13.5" thickBot="1">
      <c r="A84" s="197">
        <v>81</v>
      </c>
      <c r="B84" s="198"/>
      <c r="C84" s="198"/>
      <c r="D84" s="198"/>
      <c r="E84" s="201"/>
      <c r="F84" s="201"/>
      <c r="G84" s="201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</row>
    <row r="85" spans="1:31" ht="13.5" thickBot="1">
      <c r="A85" s="197">
        <v>82</v>
      </c>
      <c r="B85" s="198"/>
      <c r="C85" s="198"/>
      <c r="D85" s="198"/>
      <c r="E85" s="201"/>
      <c r="F85" s="201"/>
      <c r="G85" s="201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</row>
    <row r="86" spans="1:31" ht="13.5" thickBot="1">
      <c r="A86" s="197">
        <v>83</v>
      </c>
      <c r="B86" s="198"/>
      <c r="C86" s="198"/>
      <c r="D86" s="198"/>
      <c r="E86" s="201"/>
      <c r="F86" s="201"/>
      <c r="G86" s="201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</row>
    <row r="87" spans="1:31" ht="13.5" thickBot="1">
      <c r="A87" s="197">
        <v>84</v>
      </c>
      <c r="B87" s="198"/>
      <c r="C87" s="198"/>
      <c r="D87" s="198"/>
      <c r="E87" s="201"/>
      <c r="F87" s="201"/>
      <c r="G87" s="201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</row>
    <row r="88" spans="1:31" ht="13.5" thickBot="1">
      <c r="A88" s="197">
        <v>85</v>
      </c>
      <c r="B88" s="198"/>
      <c r="C88" s="198"/>
      <c r="D88" s="198"/>
      <c r="E88" s="201"/>
      <c r="F88" s="201"/>
      <c r="G88" s="201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</row>
    <row r="89" spans="1:31" ht="13.5" thickBot="1">
      <c r="A89" s="197">
        <v>86</v>
      </c>
      <c r="B89" s="198"/>
      <c r="C89" s="198"/>
      <c r="D89" s="198"/>
      <c r="E89" s="201"/>
      <c r="F89" s="201"/>
      <c r="G89" s="201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</row>
    <row r="90" spans="1:31" ht="13.5" thickBot="1">
      <c r="A90" s="197">
        <v>87</v>
      </c>
      <c r="B90" s="198"/>
      <c r="C90" s="198"/>
      <c r="D90" s="198"/>
      <c r="E90" s="201"/>
      <c r="F90" s="201"/>
      <c r="G90" s="201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</row>
    <row r="91" spans="1:31" ht="13.5" thickBot="1">
      <c r="A91" s="197">
        <v>88</v>
      </c>
      <c r="B91" s="198"/>
      <c r="C91" s="198"/>
      <c r="D91" s="198"/>
      <c r="E91" s="201"/>
      <c r="F91" s="201"/>
      <c r="G91" s="201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</row>
    <row r="92" spans="1:31" ht="13.5" thickBot="1">
      <c r="A92" s="197">
        <v>89</v>
      </c>
      <c r="B92" s="198"/>
      <c r="C92" s="198"/>
      <c r="D92" s="198"/>
      <c r="E92" s="201"/>
      <c r="F92" s="201"/>
      <c r="G92" s="201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</row>
    <row r="93" spans="1:31" ht="13.5" thickBot="1">
      <c r="A93" s="197">
        <v>90</v>
      </c>
      <c r="B93" s="198"/>
      <c r="C93" s="198"/>
      <c r="D93" s="198"/>
      <c r="E93" s="201"/>
      <c r="F93" s="201"/>
      <c r="G93" s="201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</row>
    <row r="94" spans="1:31" ht="13.5" thickBot="1">
      <c r="A94" s="197">
        <v>91</v>
      </c>
      <c r="B94" s="198"/>
      <c r="C94" s="198"/>
      <c r="D94" s="198"/>
      <c r="E94" s="201"/>
      <c r="F94" s="201"/>
      <c r="G94" s="201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</row>
    <row r="95" spans="1:31" ht="13.5" thickBot="1">
      <c r="A95" s="197">
        <v>92</v>
      </c>
      <c r="B95" s="198"/>
      <c r="C95" s="198"/>
      <c r="D95" s="198"/>
      <c r="E95" s="201"/>
      <c r="F95" s="201"/>
      <c r="G95" s="201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</row>
    <row r="96" spans="1:31" ht="13.5" thickBot="1">
      <c r="A96" s="197">
        <v>93</v>
      </c>
      <c r="B96" s="198"/>
      <c r="C96" s="198"/>
      <c r="D96" s="198"/>
      <c r="E96" s="201"/>
      <c r="F96" s="201"/>
      <c r="G96" s="201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</row>
    <row r="97" spans="1:31" ht="13.5" thickBot="1">
      <c r="A97" s="197">
        <v>94</v>
      </c>
      <c r="B97" s="198"/>
      <c r="C97" s="198"/>
      <c r="D97" s="198"/>
      <c r="E97" s="201"/>
      <c r="F97" s="201"/>
      <c r="G97" s="201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</row>
    <row r="98" spans="1:31" ht="13.5" thickBot="1">
      <c r="A98" s="197">
        <v>95</v>
      </c>
      <c r="B98" s="198"/>
      <c r="C98" s="198"/>
      <c r="D98" s="198"/>
      <c r="E98" s="201"/>
      <c r="F98" s="201"/>
      <c r="G98" s="201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</row>
    <row r="99" spans="1:31" ht="13.5" thickBot="1">
      <c r="A99" s="197">
        <v>96</v>
      </c>
      <c r="B99" s="198"/>
      <c r="C99" s="198"/>
      <c r="D99" s="198"/>
      <c r="E99" s="201"/>
      <c r="F99" s="201"/>
      <c r="G99" s="201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</row>
    <row r="100" spans="1:31" ht="13.5" thickBot="1">
      <c r="A100" s="197">
        <v>97</v>
      </c>
      <c r="B100" s="198"/>
      <c r="C100" s="198"/>
      <c r="D100" s="198"/>
      <c r="E100" s="201"/>
      <c r="F100" s="201"/>
      <c r="G100" s="201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</row>
    <row r="101" spans="1:31" ht="13.5" thickBot="1">
      <c r="A101" s="197">
        <v>98</v>
      </c>
      <c r="B101" s="198"/>
      <c r="C101" s="198"/>
      <c r="D101" s="198"/>
      <c r="E101" s="201"/>
      <c r="F101" s="201"/>
      <c r="G101" s="201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  <c r="AB101" s="200"/>
      <c r="AC101" s="200"/>
      <c r="AD101" s="200"/>
      <c r="AE101" s="200"/>
    </row>
    <row r="102" spans="1:31" ht="13.5" thickBot="1">
      <c r="A102" s="197">
        <v>99</v>
      </c>
      <c r="B102" s="198"/>
      <c r="C102" s="198"/>
      <c r="D102" s="198"/>
      <c r="E102" s="201"/>
      <c r="F102" s="201"/>
      <c r="G102" s="201"/>
      <c r="H102" s="201"/>
      <c r="I102" s="201"/>
      <c r="J102" s="201"/>
      <c r="K102" s="201"/>
      <c r="L102" s="201"/>
      <c r="M102" s="201"/>
      <c r="N102" s="201"/>
      <c r="O102" s="201"/>
      <c r="P102" s="201"/>
      <c r="Q102" s="201"/>
      <c r="R102" s="201"/>
      <c r="S102" s="201"/>
      <c r="T102" s="201"/>
      <c r="U102" s="201"/>
      <c r="V102" s="201"/>
      <c r="W102" s="201"/>
      <c r="X102" s="201"/>
      <c r="Y102" s="201"/>
      <c r="Z102" s="201"/>
      <c r="AA102" s="201"/>
      <c r="AB102" s="201"/>
      <c r="AC102" s="201"/>
      <c r="AD102" s="201"/>
      <c r="AE102" s="201"/>
    </row>
    <row r="103" spans="1:31" ht="13.5" thickBot="1">
      <c r="A103" s="197">
        <v>100</v>
      </c>
      <c r="B103" s="198"/>
      <c r="C103" s="198"/>
      <c r="D103" s="198"/>
      <c r="E103" s="201"/>
      <c r="F103" s="201"/>
      <c r="G103" s="201"/>
      <c r="H103" s="201"/>
      <c r="I103" s="201"/>
      <c r="J103" s="201"/>
      <c r="K103" s="201"/>
      <c r="L103" s="201"/>
      <c r="M103" s="201"/>
      <c r="N103" s="201"/>
      <c r="O103" s="201"/>
      <c r="P103" s="201"/>
      <c r="Q103" s="201"/>
      <c r="R103" s="201"/>
      <c r="S103" s="201"/>
      <c r="T103" s="201"/>
      <c r="U103" s="201"/>
      <c r="V103" s="201"/>
      <c r="W103" s="201"/>
      <c r="X103" s="201"/>
      <c r="Y103" s="201"/>
      <c r="Z103" s="201"/>
      <c r="AA103" s="201"/>
      <c r="AB103" s="201"/>
      <c r="AC103" s="201"/>
      <c r="AD103" s="201"/>
      <c r="AE103" s="201"/>
    </row>
    <row r="104" spans="1:31" ht="13.5" thickBot="1">
      <c r="A104" s="202"/>
      <c r="B104" s="202"/>
      <c r="C104" s="202"/>
      <c r="D104" s="202"/>
      <c r="E104" s="202"/>
      <c r="F104" s="202"/>
      <c r="G104" s="202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ht="13.5" thickBot="1">
      <c r="A105" s="202"/>
      <c r="B105" s="202"/>
      <c r="C105" s="202"/>
      <c r="D105" s="202"/>
      <c r="E105" s="202"/>
      <c r="F105" s="202"/>
      <c r="G105" s="202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ht="13.5" thickBot="1">
      <c r="A106" s="202"/>
      <c r="B106" s="202"/>
      <c r="C106" s="202"/>
      <c r="D106" s="202"/>
      <c r="E106" s="202"/>
      <c r="F106" s="202"/>
      <c r="G106" s="202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ht="13.5" thickBot="1">
      <c r="A107" s="202"/>
      <c r="B107" s="202"/>
      <c r="C107" s="202"/>
      <c r="D107" s="202"/>
      <c r="E107" s="202"/>
      <c r="F107" s="202"/>
      <c r="G107" s="202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ht="13.5" thickBot="1">
      <c r="A108" s="202"/>
      <c r="B108" s="202"/>
      <c r="C108" s="202"/>
      <c r="D108" s="202"/>
      <c r="E108" s="202"/>
      <c r="F108" s="202"/>
      <c r="G108" s="202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3.5" thickBot="1">
      <c r="A109" s="202"/>
      <c r="B109" s="202"/>
      <c r="C109" s="202"/>
      <c r="D109" s="202"/>
      <c r="E109" s="202"/>
      <c r="F109" s="202"/>
      <c r="G109" s="202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3.5" thickBot="1">
      <c r="A110" s="202"/>
      <c r="B110" s="202"/>
      <c r="C110" s="202"/>
      <c r="D110" s="202"/>
      <c r="E110" s="202"/>
      <c r="F110" s="202"/>
      <c r="G110" s="202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ht="13.5" thickBot="1">
      <c r="A111" s="202"/>
      <c r="B111" s="202"/>
      <c r="C111" s="202"/>
      <c r="D111" s="202"/>
      <c r="E111" s="202"/>
      <c r="F111" s="202"/>
      <c r="G111" s="202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3.5" thickBot="1">
      <c r="A112" s="202"/>
      <c r="B112" s="202"/>
      <c r="C112" s="202"/>
      <c r="D112" s="202"/>
      <c r="E112" s="202"/>
      <c r="F112" s="202"/>
      <c r="G112" s="202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3.5" thickBot="1">
      <c r="A113" s="202"/>
      <c r="B113" s="202"/>
      <c r="C113" s="202"/>
      <c r="D113" s="202"/>
      <c r="E113" s="202"/>
      <c r="F113" s="202"/>
      <c r="G113" s="202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3.5" thickBot="1">
      <c r="A114" s="202"/>
      <c r="B114" s="202"/>
      <c r="C114" s="202"/>
      <c r="D114" s="202"/>
      <c r="E114" s="202"/>
      <c r="F114" s="202"/>
      <c r="G114" s="202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3.5" thickBot="1">
      <c r="A115" s="202"/>
      <c r="B115" s="202"/>
      <c r="C115" s="202"/>
      <c r="D115" s="202"/>
      <c r="E115" s="202"/>
      <c r="F115" s="202"/>
      <c r="G115" s="202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3.5" thickBot="1">
      <c r="A116" s="202"/>
      <c r="B116" s="202"/>
      <c r="C116" s="202"/>
      <c r="D116" s="202"/>
      <c r="E116" s="202"/>
      <c r="F116" s="202"/>
      <c r="G116" s="202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3.5" thickBot="1">
      <c r="A117" s="202"/>
      <c r="B117" s="202"/>
      <c r="C117" s="202"/>
      <c r="D117" s="202"/>
      <c r="E117" s="202"/>
      <c r="F117" s="202"/>
      <c r="G117" s="202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3.5" thickBot="1">
      <c r="A118" s="202"/>
      <c r="B118" s="202"/>
      <c r="C118" s="202"/>
      <c r="D118" s="202"/>
      <c r="E118" s="202"/>
      <c r="F118" s="202"/>
      <c r="G118" s="202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3.5" thickBot="1">
      <c r="A119" s="202"/>
      <c r="B119" s="202"/>
      <c r="C119" s="202"/>
      <c r="D119" s="202"/>
      <c r="E119" s="202"/>
      <c r="F119" s="202"/>
      <c r="G119" s="202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3.5" thickBot="1">
      <c r="A120" s="202"/>
      <c r="B120" s="202"/>
      <c r="C120" s="202"/>
      <c r="D120" s="202"/>
      <c r="E120" s="202"/>
      <c r="F120" s="202"/>
      <c r="G120" s="202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3.5" thickBot="1">
      <c r="A121" s="202"/>
      <c r="B121" s="202"/>
      <c r="C121" s="202"/>
      <c r="D121" s="202"/>
      <c r="E121" s="202"/>
      <c r="F121" s="202"/>
      <c r="G121" s="202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3.5" thickBot="1">
      <c r="A122" s="202"/>
      <c r="B122" s="202"/>
      <c r="C122" s="202"/>
      <c r="D122" s="202"/>
      <c r="E122" s="202"/>
      <c r="F122" s="202"/>
      <c r="G122" s="202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3.5" thickBot="1">
      <c r="A123" s="202"/>
      <c r="B123" s="202"/>
      <c r="C123" s="202"/>
      <c r="D123" s="202"/>
      <c r="E123" s="202"/>
      <c r="F123" s="202"/>
      <c r="G123" s="202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3.5" thickBot="1">
      <c r="A124" s="202"/>
      <c r="B124" s="202"/>
      <c r="C124" s="202"/>
      <c r="D124" s="202"/>
      <c r="E124" s="202"/>
      <c r="F124" s="202"/>
      <c r="G124" s="202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3.5" thickBot="1">
      <c r="A125" s="202"/>
      <c r="B125" s="202"/>
      <c r="C125" s="202"/>
      <c r="D125" s="202"/>
      <c r="E125" s="202"/>
      <c r="F125" s="202"/>
      <c r="G125" s="202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</row>
    <row r="126" spans="1:31" ht="13.5" thickBot="1">
      <c r="A126" s="202"/>
      <c r="B126" s="202"/>
      <c r="C126" s="202"/>
      <c r="D126" s="202"/>
      <c r="E126" s="202"/>
      <c r="F126" s="202"/>
      <c r="G126" s="202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</row>
    <row r="127" spans="1:31" ht="13.5" thickBot="1">
      <c r="A127" s="202"/>
      <c r="B127" s="202"/>
      <c r="C127" s="202"/>
      <c r="D127" s="202"/>
      <c r="E127" s="202"/>
      <c r="F127" s="202"/>
      <c r="G127" s="202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</row>
    <row r="128" spans="1:31" ht="13.5" thickBot="1">
      <c r="A128" s="202"/>
      <c r="B128" s="202"/>
      <c r="C128" s="202"/>
      <c r="D128" s="202"/>
      <c r="E128" s="202"/>
      <c r="F128" s="202"/>
      <c r="G128" s="202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</row>
    <row r="129" spans="1:31" ht="13.5" thickBot="1">
      <c r="A129" s="202"/>
      <c r="B129" s="202"/>
      <c r="C129" s="202"/>
      <c r="D129" s="202"/>
      <c r="E129" s="202"/>
      <c r="F129" s="202"/>
      <c r="G129" s="202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</row>
    <row r="130" spans="1:31" ht="13.5" thickBot="1">
      <c r="A130" s="202"/>
      <c r="B130" s="202"/>
      <c r="C130" s="202"/>
      <c r="D130" s="202"/>
      <c r="E130" s="202"/>
      <c r="F130" s="202"/>
      <c r="G130" s="202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</row>
    <row r="131" spans="1:31" ht="13.5" thickBot="1">
      <c r="A131" s="202"/>
      <c r="B131" s="202"/>
      <c r="C131" s="202"/>
      <c r="D131" s="202"/>
      <c r="E131" s="202"/>
      <c r="F131" s="202"/>
      <c r="G131" s="202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</row>
    <row r="132" spans="1:31" ht="13.5" thickBot="1">
      <c r="A132" s="202"/>
      <c r="B132" s="202"/>
      <c r="C132" s="202"/>
      <c r="D132" s="202"/>
      <c r="E132" s="202"/>
      <c r="F132" s="202"/>
      <c r="G132" s="202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</row>
    <row r="133" spans="1:31" ht="13.5" thickBot="1">
      <c r="A133" s="202"/>
      <c r="B133" s="202"/>
      <c r="C133" s="202"/>
      <c r="D133" s="202"/>
      <c r="E133" s="202"/>
      <c r="F133" s="202"/>
      <c r="G133" s="202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</row>
    <row r="134" spans="1:31" ht="13.5" thickBot="1">
      <c r="A134" s="202"/>
      <c r="B134" s="202"/>
      <c r="C134" s="202"/>
      <c r="D134" s="202"/>
      <c r="E134" s="202"/>
      <c r="F134" s="202"/>
      <c r="G134" s="202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7"/>
      <c r="AD134" s="177"/>
      <c r="AE134" s="177"/>
    </row>
    <row r="135" spans="1:31" ht="13.5" thickBot="1">
      <c r="A135" s="202"/>
      <c r="B135" s="202"/>
      <c r="C135" s="202"/>
      <c r="D135" s="202"/>
      <c r="E135" s="202"/>
      <c r="F135" s="202"/>
      <c r="G135" s="202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7"/>
      <c r="AD135" s="177"/>
      <c r="AE135" s="177"/>
    </row>
    <row r="136" spans="1:31" ht="13.5" thickBot="1">
      <c r="A136" s="202"/>
      <c r="B136" s="202"/>
      <c r="C136" s="202"/>
      <c r="D136" s="202"/>
      <c r="E136" s="202"/>
      <c r="F136" s="202"/>
      <c r="G136" s="202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  <c r="AA136" s="177"/>
      <c r="AB136" s="177"/>
      <c r="AC136" s="177"/>
      <c r="AD136" s="177"/>
      <c r="AE136" s="177"/>
    </row>
    <row r="137" spans="1:31" ht="13.5" thickBot="1">
      <c r="A137" s="202"/>
      <c r="B137" s="202"/>
      <c r="C137" s="202"/>
      <c r="D137" s="202"/>
      <c r="E137" s="202"/>
      <c r="F137" s="202"/>
      <c r="G137" s="202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7"/>
      <c r="AD137" s="177"/>
      <c r="AE137" s="177"/>
    </row>
    <row r="138" spans="1:31" ht="13.5" thickBot="1">
      <c r="A138" s="202"/>
      <c r="B138" s="202"/>
      <c r="C138" s="202"/>
      <c r="D138" s="202"/>
      <c r="E138" s="202"/>
      <c r="F138" s="202"/>
      <c r="G138" s="202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</row>
    <row r="139" spans="1:31" ht="13.5" thickBot="1">
      <c r="A139" s="202"/>
      <c r="B139" s="202"/>
      <c r="C139" s="202"/>
      <c r="D139" s="202"/>
      <c r="E139" s="202"/>
      <c r="F139" s="202"/>
      <c r="G139" s="202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</row>
    <row r="140" spans="1:31" ht="13.5" thickBot="1">
      <c r="A140" s="202"/>
      <c r="B140" s="202"/>
      <c r="C140" s="202"/>
      <c r="D140" s="202"/>
      <c r="E140" s="202"/>
      <c r="F140" s="202"/>
      <c r="G140" s="202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</row>
    <row r="141" spans="1:31" ht="13.5" thickBot="1">
      <c r="A141" s="202"/>
      <c r="B141" s="202"/>
      <c r="C141" s="202"/>
      <c r="D141" s="202"/>
      <c r="E141" s="202"/>
      <c r="F141" s="202"/>
      <c r="G141" s="202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</row>
    <row r="142" spans="1:31" ht="13.5" thickBot="1">
      <c r="A142" s="202"/>
      <c r="B142" s="202"/>
      <c r="C142" s="202"/>
      <c r="D142" s="202"/>
      <c r="E142" s="202"/>
      <c r="F142" s="202"/>
      <c r="G142" s="202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</row>
    <row r="143" spans="1:31" ht="13.5" thickBot="1">
      <c r="A143" s="202"/>
      <c r="B143" s="202"/>
      <c r="C143" s="202"/>
      <c r="D143" s="202"/>
      <c r="E143" s="202"/>
      <c r="F143" s="202"/>
      <c r="G143" s="202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</row>
    <row r="144" spans="1:31" ht="13.5" thickBot="1">
      <c r="A144" s="202"/>
      <c r="B144" s="202"/>
      <c r="C144" s="202"/>
      <c r="D144" s="202"/>
      <c r="E144" s="202"/>
      <c r="F144" s="202"/>
      <c r="G144" s="202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  <c r="AA144" s="177"/>
      <c r="AB144" s="177"/>
      <c r="AC144" s="177"/>
      <c r="AD144" s="177"/>
      <c r="AE144" s="177"/>
    </row>
    <row r="145" spans="1:31" ht="13.5" thickBot="1">
      <c r="A145" s="202"/>
      <c r="B145" s="202"/>
      <c r="C145" s="202"/>
      <c r="D145" s="202"/>
      <c r="E145" s="202"/>
      <c r="F145" s="202"/>
      <c r="G145" s="202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7"/>
      <c r="AD145" s="177"/>
      <c r="AE145" s="177"/>
    </row>
    <row r="146" spans="1:31" ht="13.5" thickBot="1">
      <c r="A146" s="202"/>
      <c r="B146" s="202"/>
      <c r="C146" s="202"/>
      <c r="D146" s="202"/>
      <c r="E146" s="202"/>
      <c r="F146" s="202"/>
      <c r="G146" s="202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</row>
    <row r="147" spans="1:31" ht="13.5" thickBot="1">
      <c r="A147" s="202"/>
      <c r="B147" s="202"/>
      <c r="C147" s="202"/>
      <c r="D147" s="202"/>
      <c r="E147" s="202"/>
      <c r="F147" s="202"/>
      <c r="G147" s="202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</row>
    <row r="148" spans="1:31" ht="13.5" thickBot="1">
      <c r="A148" s="202"/>
      <c r="B148" s="202"/>
      <c r="C148" s="202"/>
      <c r="D148" s="202"/>
      <c r="E148" s="202"/>
      <c r="F148" s="202"/>
      <c r="G148" s="202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</row>
    <row r="149" spans="1:31" ht="13.5" thickBot="1">
      <c r="A149" s="202"/>
      <c r="B149" s="202"/>
      <c r="C149" s="202"/>
      <c r="D149" s="202"/>
      <c r="E149" s="202"/>
      <c r="F149" s="202"/>
      <c r="G149" s="202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</row>
    <row r="150" spans="1:31" ht="13.5" thickBot="1">
      <c r="A150" s="202"/>
      <c r="B150" s="202"/>
      <c r="C150" s="202"/>
      <c r="D150" s="202"/>
      <c r="E150" s="202"/>
      <c r="F150" s="202"/>
      <c r="G150" s="202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</row>
    <row r="151" spans="1:31" ht="13.5" thickBot="1">
      <c r="A151" s="202"/>
      <c r="B151" s="202"/>
      <c r="C151" s="202"/>
      <c r="D151" s="202"/>
      <c r="E151" s="202"/>
      <c r="F151" s="202"/>
      <c r="G151" s="202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</row>
    <row r="152" spans="1:31" ht="13.5" thickBot="1">
      <c r="A152" s="202"/>
      <c r="B152" s="202"/>
      <c r="C152" s="202"/>
      <c r="D152" s="202"/>
      <c r="E152" s="202"/>
      <c r="F152" s="202"/>
      <c r="G152" s="202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</row>
    <row r="153" spans="1:31" ht="13.5" thickBot="1">
      <c r="A153" s="202"/>
      <c r="B153" s="202"/>
      <c r="C153" s="202"/>
      <c r="D153" s="202"/>
      <c r="E153" s="202"/>
      <c r="F153" s="202"/>
      <c r="G153" s="202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</row>
    <row r="154" spans="1:31" ht="13.5" thickBot="1">
      <c r="A154" s="202"/>
      <c r="B154" s="202"/>
      <c r="C154" s="202"/>
      <c r="D154" s="202"/>
      <c r="E154" s="202"/>
      <c r="F154" s="202"/>
      <c r="G154" s="202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</row>
    <row r="155" spans="1:31" ht="13.5" thickBot="1">
      <c r="A155" s="202"/>
      <c r="B155" s="202"/>
      <c r="C155" s="202"/>
      <c r="D155" s="202"/>
      <c r="E155" s="202"/>
      <c r="F155" s="202"/>
      <c r="G155" s="202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</row>
    <row r="156" spans="1:31" ht="13.5" thickBot="1">
      <c r="A156" s="202"/>
      <c r="B156" s="202"/>
      <c r="C156" s="202"/>
      <c r="D156" s="202"/>
      <c r="E156" s="202"/>
      <c r="F156" s="202"/>
      <c r="G156" s="202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</row>
    <row r="157" spans="1:31" ht="13.5" thickBot="1">
      <c r="A157" s="202"/>
      <c r="B157" s="202"/>
      <c r="C157" s="202"/>
      <c r="D157" s="202"/>
      <c r="E157" s="202"/>
      <c r="F157" s="202"/>
      <c r="G157" s="202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</row>
    <row r="158" spans="1:31" ht="13.5" thickBot="1">
      <c r="A158" s="202"/>
      <c r="B158" s="202"/>
      <c r="C158" s="202"/>
      <c r="D158" s="202"/>
      <c r="E158" s="202"/>
      <c r="F158" s="202"/>
      <c r="G158" s="202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</row>
    <row r="159" spans="1:31" ht="13.5" thickBot="1">
      <c r="A159" s="202"/>
      <c r="B159" s="202"/>
      <c r="C159" s="202"/>
      <c r="D159" s="202"/>
      <c r="E159" s="202"/>
      <c r="F159" s="202"/>
      <c r="G159" s="202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</row>
    <row r="160" spans="1:31" ht="13.5" thickBot="1">
      <c r="A160" s="202"/>
      <c r="B160" s="202"/>
      <c r="C160" s="202"/>
      <c r="D160" s="202"/>
      <c r="E160" s="202"/>
      <c r="F160" s="202"/>
      <c r="G160" s="202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</row>
    <row r="161" spans="1:31" ht="13.5" thickBot="1">
      <c r="A161" s="202"/>
      <c r="B161" s="202"/>
      <c r="C161" s="202"/>
      <c r="D161" s="202"/>
      <c r="E161" s="202"/>
      <c r="F161" s="202"/>
      <c r="G161" s="202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</row>
    <row r="162" spans="1:31" ht="13.5" thickBot="1">
      <c r="A162" s="202"/>
      <c r="B162" s="202"/>
      <c r="C162" s="202"/>
      <c r="D162" s="202"/>
      <c r="E162" s="202"/>
      <c r="F162" s="202"/>
      <c r="G162" s="202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</row>
    <row r="163" spans="1:31" ht="13.5" thickBot="1">
      <c r="A163" s="202"/>
      <c r="B163" s="202"/>
      <c r="C163" s="202"/>
      <c r="D163" s="202"/>
      <c r="E163" s="202"/>
      <c r="F163" s="202"/>
      <c r="G163" s="202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</row>
    <row r="164" spans="1:31" ht="13.5" thickBot="1">
      <c r="A164" s="202"/>
      <c r="B164" s="202"/>
      <c r="C164" s="202"/>
      <c r="D164" s="202"/>
      <c r="E164" s="202"/>
      <c r="F164" s="202"/>
      <c r="G164" s="202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</row>
    <row r="165" spans="1:31" ht="13.5" thickBot="1">
      <c r="A165" s="202"/>
      <c r="B165" s="202"/>
      <c r="C165" s="202"/>
      <c r="D165" s="202"/>
      <c r="E165" s="202"/>
      <c r="F165" s="202"/>
      <c r="G165" s="202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</row>
    <row r="166" spans="1:31" ht="13.5" thickBot="1">
      <c r="A166" s="202"/>
      <c r="B166" s="202"/>
      <c r="C166" s="202"/>
      <c r="D166" s="202"/>
      <c r="E166" s="202"/>
      <c r="F166" s="202"/>
      <c r="G166" s="202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</row>
    <row r="167" spans="1:31" ht="13.5" thickBot="1">
      <c r="A167" s="202"/>
      <c r="B167" s="202"/>
      <c r="C167" s="202"/>
      <c r="D167" s="202"/>
      <c r="E167" s="202"/>
      <c r="F167" s="202"/>
      <c r="G167" s="202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</row>
    <row r="168" spans="1:31" ht="13.5" thickBot="1">
      <c r="A168" s="202"/>
      <c r="B168" s="202"/>
      <c r="C168" s="202"/>
      <c r="D168" s="202"/>
      <c r="E168" s="202"/>
      <c r="F168" s="202"/>
      <c r="G168" s="202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</row>
    <row r="169" spans="1:31" ht="13.5" thickBot="1">
      <c r="A169" s="202"/>
      <c r="B169" s="202"/>
      <c r="C169" s="202"/>
      <c r="D169" s="202"/>
      <c r="E169" s="202"/>
      <c r="F169" s="202"/>
      <c r="G169" s="202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</row>
    <row r="170" spans="1:31" ht="13.5" thickBot="1">
      <c r="A170" s="202"/>
      <c r="B170" s="202"/>
      <c r="C170" s="202"/>
      <c r="D170" s="202"/>
      <c r="E170" s="202"/>
      <c r="F170" s="202"/>
      <c r="G170" s="202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</row>
    <row r="171" spans="1:31" ht="13.5" thickBot="1">
      <c r="A171" s="202"/>
      <c r="B171" s="202"/>
      <c r="C171" s="202"/>
      <c r="D171" s="202"/>
      <c r="E171" s="202"/>
      <c r="F171" s="202"/>
      <c r="G171" s="202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</row>
    <row r="172" spans="1:31" ht="13.5" thickBot="1">
      <c r="A172" s="202"/>
      <c r="B172" s="202"/>
      <c r="C172" s="202"/>
      <c r="D172" s="202"/>
      <c r="E172" s="202"/>
      <c r="F172" s="202"/>
      <c r="G172" s="202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</row>
    <row r="173" spans="1:31" ht="13.5" thickBot="1">
      <c r="A173" s="202"/>
      <c r="B173" s="202"/>
      <c r="C173" s="202"/>
      <c r="D173" s="202"/>
      <c r="E173" s="202"/>
      <c r="F173" s="202"/>
      <c r="G173" s="202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</row>
    <row r="174" spans="1:31" ht="13.5" thickBot="1">
      <c r="A174" s="202"/>
      <c r="B174" s="202"/>
      <c r="C174" s="202"/>
      <c r="D174" s="202"/>
      <c r="E174" s="202"/>
      <c r="F174" s="202"/>
      <c r="G174" s="202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</row>
    <row r="175" spans="1:31" ht="13.5" thickBot="1">
      <c r="A175" s="202"/>
      <c r="B175" s="202"/>
      <c r="C175" s="202"/>
      <c r="D175" s="202"/>
      <c r="E175" s="202"/>
      <c r="F175" s="202"/>
      <c r="G175" s="202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</row>
    <row r="176" spans="1:31" ht="13.5" thickBot="1">
      <c r="A176" s="202"/>
      <c r="B176" s="202"/>
      <c r="C176" s="202"/>
      <c r="D176" s="202"/>
      <c r="E176" s="202"/>
      <c r="F176" s="202"/>
      <c r="G176" s="202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  <c r="AA176" s="177"/>
      <c r="AB176" s="177"/>
      <c r="AC176" s="177"/>
      <c r="AD176" s="177"/>
      <c r="AE176" s="177"/>
    </row>
    <row r="177" spans="1:31" ht="13.5" thickBot="1">
      <c r="A177" s="202"/>
      <c r="B177" s="202"/>
      <c r="C177" s="202"/>
      <c r="D177" s="202"/>
      <c r="E177" s="202"/>
      <c r="F177" s="202"/>
      <c r="G177" s="202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</row>
    <row r="178" spans="1:31" ht="13.5" thickBot="1">
      <c r="A178" s="202"/>
      <c r="B178" s="202"/>
      <c r="C178" s="202"/>
      <c r="D178" s="202"/>
      <c r="E178" s="202"/>
      <c r="F178" s="202"/>
      <c r="G178" s="202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</row>
    <row r="179" spans="1:31" ht="13.5" thickBot="1">
      <c r="A179" s="202"/>
      <c r="B179" s="202"/>
      <c r="C179" s="202"/>
      <c r="D179" s="202"/>
      <c r="E179" s="202"/>
      <c r="F179" s="202"/>
      <c r="G179" s="202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</row>
    <row r="180" spans="1:31" ht="13.5" thickBot="1">
      <c r="A180" s="202"/>
      <c r="B180" s="202"/>
      <c r="C180" s="202"/>
      <c r="D180" s="202"/>
      <c r="E180" s="202"/>
      <c r="F180" s="202"/>
      <c r="G180" s="202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177"/>
      <c r="AB180" s="177"/>
      <c r="AC180" s="177"/>
      <c r="AD180" s="177"/>
      <c r="AE180" s="177"/>
    </row>
    <row r="181" spans="1:31" ht="13.5" thickBot="1">
      <c r="A181" s="202"/>
      <c r="B181" s="202"/>
      <c r="C181" s="202"/>
      <c r="D181" s="202"/>
      <c r="E181" s="202"/>
      <c r="F181" s="202"/>
      <c r="G181" s="202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  <c r="AA181" s="177"/>
      <c r="AB181" s="177"/>
      <c r="AC181" s="177"/>
      <c r="AD181" s="177"/>
      <c r="AE181" s="177"/>
    </row>
    <row r="182" spans="1:31" ht="13.5" thickBot="1">
      <c r="A182" s="202"/>
      <c r="B182" s="202"/>
      <c r="C182" s="202"/>
      <c r="D182" s="202"/>
      <c r="E182" s="202"/>
      <c r="F182" s="202"/>
      <c r="G182" s="202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</row>
    <row r="183" spans="1:31" ht="13.5" thickBot="1">
      <c r="A183" s="202"/>
      <c r="B183" s="202"/>
      <c r="C183" s="202"/>
      <c r="D183" s="202"/>
      <c r="E183" s="202"/>
      <c r="F183" s="202"/>
      <c r="G183" s="202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</row>
    <row r="184" spans="1:31" ht="13.5" thickBot="1">
      <c r="A184" s="202"/>
      <c r="B184" s="202"/>
      <c r="C184" s="202"/>
      <c r="D184" s="202"/>
      <c r="E184" s="202"/>
      <c r="F184" s="202"/>
      <c r="G184" s="202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</row>
    <row r="185" spans="1:31" ht="13.5" thickBot="1">
      <c r="A185" s="202"/>
      <c r="B185" s="202"/>
      <c r="C185" s="202"/>
      <c r="D185" s="202"/>
      <c r="E185" s="202"/>
      <c r="F185" s="202"/>
      <c r="G185" s="202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</row>
    <row r="186" spans="1:31" ht="13.5" thickBot="1">
      <c r="A186" s="202"/>
      <c r="B186" s="202"/>
      <c r="C186" s="202"/>
      <c r="D186" s="202"/>
      <c r="E186" s="202"/>
      <c r="F186" s="202"/>
      <c r="G186" s="202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</row>
    <row r="187" spans="1:31" ht="13.5" thickBot="1">
      <c r="A187" s="202"/>
      <c r="B187" s="202"/>
      <c r="C187" s="202"/>
      <c r="D187" s="202"/>
      <c r="E187" s="202"/>
      <c r="F187" s="202"/>
      <c r="G187" s="202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  <c r="R187" s="177"/>
      <c r="S187" s="177"/>
      <c r="T187" s="177"/>
      <c r="U187" s="177"/>
      <c r="V187" s="177"/>
      <c r="W187" s="177"/>
      <c r="X187" s="177"/>
      <c r="Y187" s="177"/>
      <c r="Z187" s="177"/>
      <c r="AA187" s="177"/>
      <c r="AB187" s="177"/>
      <c r="AC187" s="177"/>
      <c r="AD187" s="177"/>
      <c r="AE187" s="177"/>
    </row>
    <row r="188" spans="1:31" ht="13.5" thickBot="1">
      <c r="A188" s="202"/>
      <c r="B188" s="202"/>
      <c r="C188" s="202"/>
      <c r="D188" s="202"/>
      <c r="E188" s="202"/>
      <c r="F188" s="202"/>
      <c r="G188" s="202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  <c r="R188" s="177"/>
      <c r="S188" s="177"/>
      <c r="T188" s="177"/>
      <c r="U188" s="177"/>
      <c r="V188" s="177"/>
      <c r="W188" s="177"/>
      <c r="X188" s="177"/>
      <c r="Y188" s="177"/>
      <c r="Z188" s="177"/>
      <c r="AA188" s="177"/>
      <c r="AB188" s="177"/>
      <c r="AC188" s="177"/>
      <c r="AD188" s="177"/>
      <c r="AE188" s="177"/>
    </row>
    <row r="189" spans="1:31" ht="13.5" thickBot="1">
      <c r="A189" s="202"/>
      <c r="B189" s="202"/>
      <c r="C189" s="202"/>
      <c r="D189" s="202"/>
      <c r="E189" s="202"/>
      <c r="F189" s="202"/>
      <c r="G189" s="202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</row>
    <row r="190" spans="1:31" ht="13.5" thickBot="1">
      <c r="A190" s="202"/>
      <c r="B190" s="202"/>
      <c r="C190" s="202"/>
      <c r="D190" s="202"/>
      <c r="E190" s="202"/>
      <c r="F190" s="202"/>
      <c r="G190" s="202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</row>
    <row r="191" spans="1:31" ht="13.5" thickBot="1">
      <c r="A191" s="202"/>
      <c r="B191" s="202"/>
      <c r="C191" s="202"/>
      <c r="D191" s="202"/>
      <c r="E191" s="202"/>
      <c r="F191" s="202"/>
      <c r="G191" s="202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</row>
    <row r="192" spans="1:31" ht="13.5" thickBot="1">
      <c r="A192" s="202"/>
      <c r="B192" s="202"/>
      <c r="C192" s="202"/>
      <c r="D192" s="202"/>
      <c r="E192" s="202"/>
      <c r="F192" s="202"/>
      <c r="G192" s="202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</row>
    <row r="193" spans="1:31" ht="13.5" thickBot="1">
      <c r="A193" s="202"/>
      <c r="B193" s="202"/>
      <c r="C193" s="202"/>
      <c r="D193" s="202"/>
      <c r="E193" s="202"/>
      <c r="F193" s="202"/>
      <c r="G193" s="202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</row>
    <row r="194" spans="1:31" ht="13.5" thickBot="1">
      <c r="A194" s="202"/>
      <c r="B194" s="202"/>
      <c r="C194" s="202"/>
      <c r="D194" s="202"/>
      <c r="E194" s="202"/>
      <c r="F194" s="202"/>
      <c r="G194" s="202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</row>
    <row r="195" spans="1:31" ht="13.5" thickBot="1">
      <c r="A195" s="202"/>
      <c r="B195" s="202"/>
      <c r="C195" s="202"/>
      <c r="D195" s="202"/>
      <c r="E195" s="202"/>
      <c r="F195" s="202"/>
      <c r="G195" s="202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</row>
    <row r="196" spans="1:31" ht="13.5" thickBot="1">
      <c r="A196" s="202"/>
      <c r="B196" s="202"/>
      <c r="C196" s="202"/>
      <c r="D196" s="202"/>
      <c r="E196" s="202"/>
      <c r="F196" s="202"/>
      <c r="G196" s="202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</row>
    <row r="197" spans="1:31" ht="13.5" thickBot="1">
      <c r="A197" s="202"/>
      <c r="B197" s="202"/>
      <c r="C197" s="202"/>
      <c r="D197" s="202"/>
      <c r="E197" s="202"/>
      <c r="F197" s="202"/>
      <c r="G197" s="202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</row>
    <row r="198" spans="1:31" ht="13.5" thickBot="1">
      <c r="A198" s="202"/>
      <c r="B198" s="202"/>
      <c r="C198" s="202"/>
      <c r="D198" s="202"/>
      <c r="E198" s="202"/>
      <c r="F198" s="202"/>
      <c r="G198" s="202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</row>
    <row r="199" spans="1:31" ht="13.5" thickBot="1">
      <c r="A199" s="202"/>
      <c r="B199" s="202"/>
      <c r="C199" s="202"/>
      <c r="D199" s="202"/>
      <c r="E199" s="202"/>
      <c r="F199" s="202"/>
      <c r="G199" s="202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</row>
    <row r="200" spans="1:31" ht="13.5" thickBot="1">
      <c r="A200" s="202"/>
      <c r="B200" s="202"/>
      <c r="C200" s="202"/>
      <c r="D200" s="202"/>
      <c r="E200" s="202"/>
      <c r="F200" s="202"/>
      <c r="G200" s="202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</row>
    <row r="201" spans="1:31" ht="13.5" thickBot="1">
      <c r="A201" s="202"/>
      <c r="B201" s="202"/>
      <c r="C201" s="202"/>
      <c r="D201" s="202"/>
      <c r="E201" s="202"/>
      <c r="F201" s="202"/>
      <c r="G201" s="202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</row>
    <row r="202" spans="1:31" ht="13.5" thickBot="1">
      <c r="A202" s="202"/>
      <c r="B202" s="202"/>
      <c r="C202" s="202"/>
      <c r="D202" s="202"/>
      <c r="E202" s="202"/>
      <c r="F202" s="202"/>
      <c r="G202" s="202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  <c r="AA202" s="177"/>
      <c r="AB202" s="177"/>
      <c r="AC202" s="177"/>
      <c r="AD202" s="177"/>
      <c r="AE202" s="177"/>
    </row>
    <row r="203" spans="1:31" ht="13.5" thickBot="1">
      <c r="A203" s="202"/>
      <c r="B203" s="202"/>
      <c r="C203" s="202"/>
      <c r="D203" s="202"/>
      <c r="E203" s="202"/>
      <c r="F203" s="202"/>
      <c r="G203" s="202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</row>
    <row r="204" spans="1:31" ht="13.5" thickBot="1">
      <c r="A204" s="202"/>
      <c r="B204" s="202"/>
      <c r="C204" s="202"/>
      <c r="D204" s="202"/>
      <c r="E204" s="202"/>
      <c r="F204" s="202"/>
      <c r="G204" s="202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</row>
    <row r="205" spans="1:31" ht="13.5" thickBot="1">
      <c r="A205" s="202"/>
      <c r="B205" s="202"/>
      <c r="C205" s="202"/>
      <c r="D205" s="202"/>
      <c r="E205" s="202"/>
      <c r="F205" s="202"/>
      <c r="G205" s="202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</row>
    <row r="206" spans="1:31" ht="13.5" thickBot="1">
      <c r="A206" s="202"/>
      <c r="B206" s="202"/>
      <c r="C206" s="202"/>
      <c r="D206" s="202"/>
      <c r="E206" s="202"/>
      <c r="F206" s="202"/>
      <c r="G206" s="202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</row>
    <row r="207" spans="1:31" ht="13.5" thickBot="1">
      <c r="A207" s="202"/>
      <c r="B207" s="202"/>
      <c r="C207" s="202"/>
      <c r="D207" s="202"/>
      <c r="E207" s="202"/>
      <c r="F207" s="202"/>
      <c r="G207" s="202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</row>
    <row r="208" spans="1:31" ht="13.5" thickBot="1">
      <c r="A208" s="202"/>
      <c r="B208" s="202"/>
      <c r="C208" s="202"/>
      <c r="D208" s="202"/>
      <c r="E208" s="202"/>
      <c r="F208" s="202"/>
      <c r="G208" s="202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</row>
    <row r="209" spans="1:31" ht="13.5" thickBot="1">
      <c r="A209" s="202"/>
      <c r="B209" s="202"/>
      <c r="C209" s="202"/>
      <c r="D209" s="202"/>
      <c r="E209" s="202"/>
      <c r="F209" s="202"/>
      <c r="G209" s="202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</row>
    <row r="210" spans="1:31" ht="13.5" thickBot="1">
      <c r="A210" s="202"/>
      <c r="B210" s="202"/>
      <c r="C210" s="202"/>
      <c r="D210" s="202"/>
      <c r="E210" s="202"/>
      <c r="F210" s="202"/>
      <c r="G210" s="202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</row>
    <row r="211" spans="1:31" ht="13.5" thickBot="1">
      <c r="A211" s="202"/>
      <c r="B211" s="202"/>
      <c r="C211" s="202"/>
      <c r="D211" s="202"/>
      <c r="E211" s="202"/>
      <c r="F211" s="202"/>
      <c r="G211" s="202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</row>
    <row r="212" spans="1:31" ht="13.5" thickBot="1">
      <c r="A212" s="202"/>
      <c r="B212" s="202"/>
      <c r="C212" s="202"/>
      <c r="D212" s="202"/>
      <c r="E212" s="202"/>
      <c r="F212" s="202"/>
      <c r="G212" s="202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</row>
    <row r="213" spans="1:31" ht="13.5" thickBot="1">
      <c r="A213" s="202"/>
      <c r="B213" s="202"/>
      <c r="C213" s="202"/>
      <c r="D213" s="202"/>
      <c r="E213" s="202"/>
      <c r="F213" s="202"/>
      <c r="G213" s="202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</row>
    <row r="214" spans="1:31" ht="13.5" thickBot="1">
      <c r="A214" s="202"/>
      <c r="B214" s="202"/>
      <c r="C214" s="202"/>
      <c r="D214" s="202"/>
      <c r="E214" s="202"/>
      <c r="F214" s="202"/>
      <c r="G214" s="202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  <c r="AA214" s="177"/>
      <c r="AB214" s="177"/>
      <c r="AC214" s="177"/>
      <c r="AD214" s="177"/>
      <c r="AE214" s="177"/>
    </row>
    <row r="215" spans="1:31" ht="13.5" thickBot="1">
      <c r="A215" s="202"/>
      <c r="B215" s="202"/>
      <c r="C215" s="202"/>
      <c r="D215" s="202"/>
      <c r="E215" s="202"/>
      <c r="F215" s="202"/>
      <c r="G215" s="202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</row>
    <row r="216" spans="1:31" ht="13.5" thickBot="1">
      <c r="A216" s="202"/>
      <c r="B216" s="202"/>
      <c r="C216" s="202"/>
      <c r="D216" s="202"/>
      <c r="E216" s="202"/>
      <c r="F216" s="202"/>
      <c r="G216" s="202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</row>
    <row r="217" spans="1:31" ht="13.5" thickBot="1">
      <c r="A217" s="202"/>
      <c r="B217" s="202"/>
      <c r="C217" s="202"/>
      <c r="D217" s="202"/>
      <c r="E217" s="202"/>
      <c r="F217" s="202"/>
      <c r="G217" s="202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</row>
    <row r="218" spans="1:31" ht="13.5" thickBot="1">
      <c r="A218" s="202"/>
      <c r="B218" s="202"/>
      <c r="C218" s="202"/>
      <c r="D218" s="202"/>
      <c r="E218" s="202"/>
      <c r="F218" s="202"/>
      <c r="G218" s="202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</row>
    <row r="219" spans="1:31" ht="13.5" thickBot="1">
      <c r="A219" s="202"/>
      <c r="B219" s="202"/>
      <c r="C219" s="202"/>
      <c r="D219" s="202"/>
      <c r="E219" s="202"/>
      <c r="F219" s="202"/>
      <c r="G219" s="202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</row>
    <row r="220" spans="1:31" ht="13.5" thickBot="1">
      <c r="A220" s="202"/>
      <c r="B220" s="202"/>
      <c r="C220" s="202"/>
      <c r="D220" s="202"/>
      <c r="E220" s="202"/>
      <c r="F220" s="202"/>
      <c r="G220" s="202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</row>
    <row r="221" spans="1:31" ht="13.5" thickBot="1">
      <c r="A221" s="202"/>
      <c r="B221" s="202"/>
      <c r="C221" s="202"/>
      <c r="D221" s="202"/>
      <c r="E221" s="202"/>
      <c r="F221" s="202"/>
      <c r="G221" s="202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</row>
    <row r="222" spans="1:31" ht="13.5" thickBot="1">
      <c r="A222" s="202"/>
      <c r="B222" s="202"/>
      <c r="C222" s="202"/>
      <c r="D222" s="202"/>
      <c r="E222" s="202"/>
      <c r="F222" s="202"/>
      <c r="G222" s="202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</row>
    <row r="223" spans="1:31" ht="13.5" thickBot="1">
      <c r="A223" s="202"/>
      <c r="B223" s="202"/>
      <c r="C223" s="202"/>
      <c r="D223" s="202"/>
      <c r="E223" s="202"/>
      <c r="F223" s="202"/>
      <c r="G223" s="202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</row>
    <row r="224" spans="1:31" ht="13.5" thickBot="1">
      <c r="A224" s="202"/>
      <c r="B224" s="202"/>
      <c r="C224" s="202"/>
      <c r="D224" s="202"/>
      <c r="E224" s="202"/>
      <c r="F224" s="202"/>
      <c r="G224" s="202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</row>
    <row r="225" spans="1:31" ht="13.5" thickBot="1">
      <c r="A225" s="202"/>
      <c r="B225" s="202"/>
      <c r="C225" s="202"/>
      <c r="D225" s="202"/>
      <c r="E225" s="202"/>
      <c r="F225" s="202"/>
      <c r="G225" s="202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</row>
    <row r="226" spans="1:31" ht="13.5" thickBot="1">
      <c r="A226" s="202"/>
      <c r="B226" s="202"/>
      <c r="C226" s="202"/>
      <c r="D226" s="202"/>
      <c r="E226" s="202"/>
      <c r="F226" s="202"/>
      <c r="G226" s="202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</row>
    <row r="227" spans="1:31" ht="13.5" thickBot="1">
      <c r="A227" s="202"/>
      <c r="B227" s="202"/>
      <c r="C227" s="202"/>
      <c r="D227" s="202"/>
      <c r="E227" s="202"/>
      <c r="F227" s="202"/>
      <c r="G227" s="202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</row>
    <row r="228" spans="1:31" ht="13.5" thickBot="1">
      <c r="A228" s="202"/>
      <c r="B228" s="202"/>
      <c r="C228" s="202"/>
      <c r="D228" s="202"/>
      <c r="E228" s="202"/>
      <c r="F228" s="202"/>
      <c r="G228" s="202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  <c r="AA228" s="177"/>
      <c r="AB228" s="177"/>
      <c r="AC228" s="177"/>
      <c r="AD228" s="177"/>
      <c r="AE228" s="177"/>
    </row>
    <row r="229" spans="1:31" ht="13.5" thickBot="1">
      <c r="A229" s="202"/>
      <c r="B229" s="202"/>
      <c r="C229" s="202"/>
      <c r="D229" s="202"/>
      <c r="E229" s="202"/>
      <c r="F229" s="202"/>
      <c r="G229" s="202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</row>
    <row r="230" spans="1:31" ht="13.5" thickBot="1">
      <c r="A230" s="202"/>
      <c r="B230" s="202"/>
      <c r="C230" s="202"/>
      <c r="D230" s="202"/>
      <c r="E230" s="202"/>
      <c r="F230" s="202"/>
      <c r="G230" s="202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177"/>
      <c r="AD230" s="177"/>
      <c r="AE230" s="177"/>
    </row>
    <row r="231" spans="1:31" ht="13.5" thickBot="1">
      <c r="A231" s="202"/>
      <c r="B231" s="202"/>
      <c r="C231" s="202"/>
      <c r="D231" s="202"/>
      <c r="E231" s="202"/>
      <c r="F231" s="202"/>
      <c r="G231" s="202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</row>
    <row r="232" spans="1:31" ht="13.5" thickBot="1">
      <c r="A232" s="202"/>
      <c r="B232" s="202"/>
      <c r="C232" s="202"/>
      <c r="D232" s="202"/>
      <c r="E232" s="202"/>
      <c r="F232" s="202"/>
      <c r="G232" s="202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</row>
    <row r="233" spans="1:31" ht="13.5" thickBot="1">
      <c r="A233" s="202"/>
      <c r="B233" s="202"/>
      <c r="C233" s="202"/>
      <c r="D233" s="202"/>
      <c r="E233" s="202"/>
      <c r="F233" s="202"/>
      <c r="G233" s="202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</row>
    <row r="234" spans="1:31" ht="13.5" thickBot="1">
      <c r="A234" s="202"/>
      <c r="B234" s="202"/>
      <c r="C234" s="202"/>
      <c r="D234" s="202"/>
      <c r="E234" s="202"/>
      <c r="F234" s="202"/>
      <c r="G234" s="202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</row>
    <row r="235" spans="1:31" ht="13.5" thickBot="1">
      <c r="A235" s="202"/>
      <c r="B235" s="202"/>
      <c r="C235" s="202"/>
      <c r="D235" s="202"/>
      <c r="E235" s="202"/>
      <c r="F235" s="202"/>
      <c r="G235" s="202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</row>
    <row r="236" spans="1:31" ht="13.5" thickBot="1">
      <c r="A236" s="202"/>
      <c r="B236" s="202"/>
      <c r="C236" s="202"/>
      <c r="D236" s="202"/>
      <c r="E236" s="202"/>
      <c r="F236" s="202"/>
      <c r="G236" s="202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  <c r="AA236" s="177"/>
      <c r="AB236" s="177"/>
      <c r="AC236" s="177"/>
      <c r="AD236" s="177"/>
      <c r="AE236" s="177"/>
    </row>
    <row r="237" spans="1:31" ht="13.5" thickBot="1">
      <c r="A237" s="202"/>
      <c r="B237" s="202"/>
      <c r="C237" s="202"/>
      <c r="D237" s="202"/>
      <c r="E237" s="202"/>
      <c r="F237" s="202"/>
      <c r="G237" s="202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</row>
    <row r="238" spans="1:31" ht="13.5" thickBot="1">
      <c r="A238" s="202"/>
      <c r="B238" s="202"/>
      <c r="C238" s="202"/>
      <c r="D238" s="202"/>
      <c r="E238" s="202"/>
      <c r="F238" s="202"/>
      <c r="G238" s="202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</row>
    <row r="239" spans="1:31" ht="13.5" thickBot="1">
      <c r="A239" s="202"/>
      <c r="B239" s="202"/>
      <c r="C239" s="202"/>
      <c r="D239" s="202"/>
      <c r="E239" s="202"/>
      <c r="F239" s="202"/>
      <c r="G239" s="202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</row>
    <row r="240" spans="1:31" ht="13.5" thickBot="1">
      <c r="A240" s="202"/>
      <c r="B240" s="202"/>
      <c r="C240" s="202"/>
      <c r="D240" s="202"/>
      <c r="E240" s="202"/>
      <c r="F240" s="202"/>
      <c r="G240" s="202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</row>
    <row r="241" spans="1:31" ht="13.5" thickBot="1">
      <c r="A241" s="202"/>
      <c r="B241" s="202"/>
      <c r="C241" s="202"/>
      <c r="D241" s="202"/>
      <c r="E241" s="202"/>
      <c r="F241" s="202"/>
      <c r="G241" s="202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</row>
    <row r="242" spans="1:31" ht="13.5" thickBot="1">
      <c r="A242" s="202"/>
      <c r="B242" s="202"/>
      <c r="C242" s="202"/>
      <c r="D242" s="202"/>
      <c r="E242" s="202"/>
      <c r="F242" s="202"/>
      <c r="G242" s="202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</row>
    <row r="243" spans="1:31" ht="13.5" thickBot="1">
      <c r="A243" s="202"/>
      <c r="B243" s="202"/>
      <c r="C243" s="202"/>
      <c r="D243" s="202"/>
      <c r="E243" s="202"/>
      <c r="F243" s="202"/>
      <c r="G243" s="202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</row>
    <row r="244" spans="1:31" ht="13.5" thickBot="1">
      <c r="A244" s="202"/>
      <c r="B244" s="202"/>
      <c r="C244" s="202"/>
      <c r="D244" s="202"/>
      <c r="E244" s="202"/>
      <c r="F244" s="202"/>
      <c r="G244" s="202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</row>
    <row r="245" spans="1:31" ht="13.5" thickBot="1">
      <c r="A245" s="202"/>
      <c r="B245" s="202"/>
      <c r="C245" s="202"/>
      <c r="D245" s="202"/>
      <c r="E245" s="202"/>
      <c r="F245" s="202"/>
      <c r="G245" s="202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</row>
    <row r="246" spans="1:31" ht="13.5" thickBot="1">
      <c r="A246" s="202"/>
      <c r="B246" s="202"/>
      <c r="C246" s="202"/>
      <c r="D246" s="202"/>
      <c r="E246" s="202"/>
      <c r="F246" s="202"/>
      <c r="G246" s="202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</row>
    <row r="247" spans="1:31" ht="13.5" thickBot="1">
      <c r="A247" s="202"/>
      <c r="B247" s="202"/>
      <c r="C247" s="202"/>
      <c r="D247" s="202"/>
      <c r="E247" s="202"/>
      <c r="F247" s="202"/>
      <c r="G247" s="202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</row>
    <row r="248" spans="1:31" ht="13.5" thickBot="1">
      <c r="A248" s="202"/>
      <c r="B248" s="202"/>
      <c r="C248" s="202"/>
      <c r="D248" s="202"/>
      <c r="E248" s="202"/>
      <c r="F248" s="202"/>
      <c r="G248" s="202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</row>
    <row r="249" spans="1:31" ht="13.5" thickBot="1">
      <c r="A249" s="202"/>
      <c r="B249" s="202"/>
      <c r="C249" s="202"/>
      <c r="D249" s="202"/>
      <c r="E249" s="202"/>
      <c r="F249" s="202"/>
      <c r="G249" s="202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</row>
    <row r="250" spans="1:31" ht="13.5" thickBot="1">
      <c r="A250" s="202"/>
      <c r="B250" s="202"/>
      <c r="C250" s="202"/>
      <c r="D250" s="202"/>
      <c r="E250" s="202"/>
      <c r="F250" s="202"/>
      <c r="G250" s="202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</row>
    <row r="251" spans="1:31" ht="13.5" thickBot="1">
      <c r="A251" s="202"/>
      <c r="B251" s="202"/>
      <c r="C251" s="202"/>
      <c r="D251" s="202"/>
      <c r="E251" s="202"/>
      <c r="F251" s="202"/>
      <c r="G251" s="202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177"/>
      <c r="AB251" s="177"/>
      <c r="AC251" s="177"/>
      <c r="AD251" s="177"/>
      <c r="AE251" s="177"/>
    </row>
    <row r="252" spans="1:31" ht="13.5" thickBot="1">
      <c r="A252" s="202"/>
      <c r="B252" s="202"/>
      <c r="C252" s="202"/>
      <c r="D252" s="202"/>
      <c r="E252" s="202"/>
      <c r="F252" s="202"/>
      <c r="G252" s="202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  <c r="R252" s="177"/>
      <c r="S252" s="177"/>
      <c r="T252" s="177"/>
      <c r="U252" s="177"/>
      <c r="V252" s="177"/>
      <c r="W252" s="177"/>
      <c r="X252" s="177"/>
      <c r="Y252" s="177"/>
      <c r="Z252" s="177"/>
      <c r="AA252" s="177"/>
      <c r="AB252" s="177"/>
      <c r="AC252" s="177"/>
      <c r="AD252" s="177"/>
      <c r="AE252" s="177"/>
    </row>
    <row r="253" spans="1:31" ht="13.5" thickBot="1">
      <c r="A253" s="202"/>
      <c r="B253" s="202"/>
      <c r="C253" s="202"/>
      <c r="D253" s="202"/>
      <c r="E253" s="202"/>
      <c r="F253" s="202"/>
      <c r="G253" s="202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  <c r="R253" s="177"/>
      <c r="S253" s="177"/>
      <c r="T253" s="177"/>
      <c r="U253" s="177"/>
      <c r="V253" s="177"/>
      <c r="W253" s="177"/>
      <c r="X253" s="177"/>
      <c r="Y253" s="177"/>
      <c r="Z253" s="177"/>
      <c r="AA253" s="177"/>
      <c r="AB253" s="177"/>
      <c r="AC253" s="177"/>
      <c r="AD253" s="177"/>
      <c r="AE253" s="177"/>
    </row>
    <row r="254" spans="1:31" ht="13.5" thickBot="1">
      <c r="A254" s="202"/>
      <c r="B254" s="202"/>
      <c r="C254" s="202"/>
      <c r="D254" s="202"/>
      <c r="E254" s="202"/>
      <c r="F254" s="202"/>
      <c r="G254" s="202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  <c r="R254" s="177"/>
      <c r="S254" s="177"/>
      <c r="T254" s="177"/>
      <c r="U254" s="177"/>
      <c r="V254" s="177"/>
      <c r="W254" s="177"/>
      <c r="X254" s="177"/>
      <c r="Y254" s="177"/>
      <c r="Z254" s="177"/>
      <c r="AA254" s="177"/>
      <c r="AB254" s="177"/>
      <c r="AC254" s="177"/>
      <c r="AD254" s="177"/>
      <c r="AE254" s="177"/>
    </row>
    <row r="255" spans="1:31" ht="13.5" thickBot="1">
      <c r="A255" s="202"/>
      <c r="B255" s="202"/>
      <c r="C255" s="202"/>
      <c r="D255" s="202"/>
      <c r="E255" s="202"/>
      <c r="F255" s="202"/>
      <c r="G255" s="202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  <c r="R255" s="177"/>
      <c r="S255" s="177"/>
      <c r="T255" s="177"/>
      <c r="U255" s="177"/>
      <c r="V255" s="177"/>
      <c r="W255" s="177"/>
      <c r="X255" s="177"/>
      <c r="Y255" s="177"/>
      <c r="Z255" s="177"/>
      <c r="AA255" s="177"/>
      <c r="AB255" s="177"/>
      <c r="AC255" s="177"/>
      <c r="AD255" s="177"/>
      <c r="AE255" s="177"/>
    </row>
    <row r="256" spans="1:31" ht="13.5" thickBot="1">
      <c r="A256" s="202"/>
      <c r="B256" s="202"/>
      <c r="C256" s="202"/>
      <c r="D256" s="202"/>
      <c r="E256" s="202"/>
      <c r="F256" s="202"/>
      <c r="G256" s="202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  <c r="R256" s="177"/>
      <c r="S256" s="177"/>
      <c r="T256" s="177"/>
      <c r="U256" s="177"/>
      <c r="V256" s="177"/>
      <c r="W256" s="177"/>
      <c r="X256" s="177"/>
      <c r="Y256" s="177"/>
      <c r="Z256" s="177"/>
      <c r="AA256" s="177"/>
      <c r="AB256" s="177"/>
      <c r="AC256" s="177"/>
      <c r="AD256" s="177"/>
      <c r="AE256" s="177"/>
    </row>
    <row r="257" spans="1:31" ht="13.5" thickBot="1">
      <c r="A257" s="202"/>
      <c r="B257" s="202"/>
      <c r="C257" s="202"/>
      <c r="D257" s="202"/>
      <c r="E257" s="202"/>
      <c r="F257" s="202"/>
      <c r="G257" s="202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  <c r="R257" s="177"/>
      <c r="S257" s="177"/>
      <c r="T257" s="177"/>
      <c r="U257" s="177"/>
      <c r="V257" s="177"/>
      <c r="W257" s="177"/>
      <c r="X257" s="177"/>
      <c r="Y257" s="177"/>
      <c r="Z257" s="177"/>
      <c r="AA257" s="177"/>
      <c r="AB257" s="177"/>
      <c r="AC257" s="177"/>
      <c r="AD257" s="177"/>
      <c r="AE257" s="177"/>
    </row>
    <row r="258" spans="1:31" ht="13.5" thickBot="1">
      <c r="A258" s="202"/>
      <c r="B258" s="202"/>
      <c r="C258" s="202"/>
      <c r="D258" s="202"/>
      <c r="E258" s="202"/>
      <c r="F258" s="202"/>
      <c r="G258" s="202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  <c r="R258" s="177"/>
      <c r="S258" s="177"/>
      <c r="T258" s="177"/>
      <c r="U258" s="177"/>
      <c r="V258" s="177"/>
      <c r="W258" s="177"/>
      <c r="X258" s="177"/>
      <c r="Y258" s="177"/>
      <c r="Z258" s="177"/>
      <c r="AA258" s="177"/>
      <c r="AB258" s="177"/>
      <c r="AC258" s="177"/>
      <c r="AD258" s="177"/>
      <c r="AE258" s="177"/>
    </row>
    <row r="259" spans="1:31" ht="13.5" thickBot="1">
      <c r="A259" s="202"/>
      <c r="B259" s="202"/>
      <c r="C259" s="202"/>
      <c r="D259" s="202"/>
      <c r="E259" s="202"/>
      <c r="F259" s="202"/>
      <c r="G259" s="202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  <c r="R259" s="177"/>
      <c r="S259" s="177"/>
      <c r="T259" s="177"/>
      <c r="U259" s="177"/>
      <c r="V259" s="177"/>
      <c r="W259" s="177"/>
      <c r="X259" s="177"/>
      <c r="Y259" s="177"/>
      <c r="Z259" s="177"/>
      <c r="AA259" s="177"/>
      <c r="AB259" s="177"/>
      <c r="AC259" s="177"/>
      <c r="AD259" s="177"/>
      <c r="AE259" s="177"/>
    </row>
    <row r="260" spans="1:31" ht="13.5" thickBot="1">
      <c r="A260" s="202"/>
      <c r="B260" s="202"/>
      <c r="C260" s="202"/>
      <c r="D260" s="202"/>
      <c r="E260" s="202"/>
      <c r="F260" s="202"/>
      <c r="G260" s="202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7"/>
      <c r="Y260" s="177"/>
      <c r="Z260" s="177"/>
      <c r="AA260" s="177"/>
      <c r="AB260" s="177"/>
      <c r="AC260" s="177"/>
      <c r="AD260" s="177"/>
      <c r="AE260" s="177"/>
    </row>
    <row r="261" spans="1:31" ht="13.5" thickBot="1">
      <c r="A261" s="202"/>
      <c r="B261" s="202"/>
      <c r="C261" s="202"/>
      <c r="D261" s="202"/>
      <c r="E261" s="202"/>
      <c r="F261" s="202"/>
      <c r="G261" s="202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  <c r="R261" s="177"/>
      <c r="S261" s="177"/>
      <c r="T261" s="177"/>
      <c r="U261" s="177"/>
      <c r="V261" s="177"/>
      <c r="W261" s="177"/>
      <c r="X261" s="177"/>
      <c r="Y261" s="177"/>
      <c r="Z261" s="177"/>
      <c r="AA261" s="177"/>
      <c r="AB261" s="177"/>
      <c r="AC261" s="177"/>
      <c r="AD261" s="177"/>
      <c r="AE261" s="177"/>
    </row>
    <row r="262" spans="1:31" ht="13.5" thickBot="1">
      <c r="A262" s="202"/>
      <c r="B262" s="202"/>
      <c r="C262" s="202"/>
      <c r="D262" s="202"/>
      <c r="E262" s="202"/>
      <c r="F262" s="202"/>
      <c r="G262" s="202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  <c r="R262" s="177"/>
      <c r="S262" s="177"/>
      <c r="T262" s="177"/>
      <c r="U262" s="177"/>
      <c r="V262" s="177"/>
      <c r="W262" s="177"/>
      <c r="X262" s="177"/>
      <c r="Y262" s="177"/>
      <c r="Z262" s="177"/>
      <c r="AA262" s="177"/>
      <c r="AB262" s="177"/>
      <c r="AC262" s="177"/>
      <c r="AD262" s="177"/>
      <c r="AE262" s="177"/>
    </row>
    <row r="263" spans="1:31" ht="13.5" thickBot="1">
      <c r="A263" s="202"/>
      <c r="B263" s="202"/>
      <c r="C263" s="202"/>
      <c r="D263" s="202"/>
      <c r="E263" s="202"/>
      <c r="F263" s="202"/>
      <c r="G263" s="202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  <c r="R263" s="177"/>
      <c r="S263" s="177"/>
      <c r="T263" s="177"/>
      <c r="U263" s="177"/>
      <c r="V263" s="177"/>
      <c r="W263" s="177"/>
      <c r="X263" s="177"/>
      <c r="Y263" s="177"/>
      <c r="Z263" s="177"/>
      <c r="AA263" s="177"/>
      <c r="AB263" s="177"/>
      <c r="AC263" s="177"/>
      <c r="AD263" s="177"/>
      <c r="AE263" s="177"/>
    </row>
    <row r="264" spans="1:31" ht="13.5" thickBot="1">
      <c r="A264" s="202"/>
      <c r="B264" s="202"/>
      <c r="C264" s="202"/>
      <c r="D264" s="202"/>
      <c r="E264" s="202"/>
      <c r="F264" s="202"/>
      <c r="G264" s="202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  <c r="R264" s="177"/>
      <c r="S264" s="177"/>
      <c r="T264" s="177"/>
      <c r="U264" s="177"/>
      <c r="V264" s="177"/>
      <c r="W264" s="177"/>
      <c r="X264" s="177"/>
      <c r="Y264" s="177"/>
      <c r="Z264" s="177"/>
      <c r="AA264" s="177"/>
      <c r="AB264" s="177"/>
      <c r="AC264" s="177"/>
      <c r="AD264" s="177"/>
      <c r="AE264" s="177"/>
    </row>
    <row r="265" spans="1:31" ht="13.5" thickBot="1">
      <c r="A265" s="202"/>
      <c r="B265" s="202"/>
      <c r="C265" s="202"/>
      <c r="D265" s="202"/>
      <c r="E265" s="202"/>
      <c r="F265" s="202"/>
      <c r="G265" s="202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  <c r="R265" s="177"/>
      <c r="S265" s="177"/>
      <c r="T265" s="177"/>
      <c r="U265" s="177"/>
      <c r="V265" s="177"/>
      <c r="W265" s="177"/>
      <c r="X265" s="177"/>
      <c r="Y265" s="177"/>
      <c r="Z265" s="177"/>
      <c r="AA265" s="177"/>
      <c r="AB265" s="177"/>
      <c r="AC265" s="177"/>
      <c r="AD265" s="177"/>
      <c r="AE265" s="177"/>
    </row>
    <row r="266" spans="1:31" ht="13.5" thickBot="1">
      <c r="A266" s="202"/>
      <c r="B266" s="202"/>
      <c r="C266" s="202"/>
      <c r="D266" s="202"/>
      <c r="E266" s="202"/>
      <c r="F266" s="202"/>
      <c r="G266" s="202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  <c r="R266" s="177"/>
      <c r="S266" s="177"/>
      <c r="T266" s="177"/>
      <c r="U266" s="177"/>
      <c r="V266" s="177"/>
      <c r="W266" s="177"/>
      <c r="X266" s="177"/>
      <c r="Y266" s="177"/>
      <c r="Z266" s="177"/>
      <c r="AA266" s="177"/>
      <c r="AB266" s="177"/>
      <c r="AC266" s="177"/>
      <c r="AD266" s="177"/>
      <c r="AE266" s="177"/>
    </row>
    <row r="267" spans="1:31" ht="13.5" thickBot="1">
      <c r="A267" s="202"/>
      <c r="B267" s="202"/>
      <c r="C267" s="202"/>
      <c r="D267" s="202"/>
      <c r="E267" s="202"/>
      <c r="F267" s="202"/>
      <c r="G267" s="202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  <c r="R267" s="177"/>
      <c r="S267" s="177"/>
      <c r="T267" s="177"/>
      <c r="U267" s="177"/>
      <c r="V267" s="177"/>
      <c r="W267" s="177"/>
      <c r="X267" s="177"/>
      <c r="Y267" s="177"/>
      <c r="Z267" s="177"/>
      <c r="AA267" s="177"/>
      <c r="AB267" s="177"/>
      <c r="AC267" s="177"/>
      <c r="AD267" s="177"/>
      <c r="AE267" s="177"/>
    </row>
    <row r="268" spans="1:31" ht="13.5" thickBot="1">
      <c r="A268" s="202"/>
      <c r="B268" s="202"/>
      <c r="C268" s="202"/>
      <c r="D268" s="202"/>
      <c r="E268" s="202"/>
      <c r="F268" s="202"/>
      <c r="G268" s="202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  <c r="R268" s="177"/>
      <c r="S268" s="177"/>
      <c r="T268" s="177"/>
      <c r="U268" s="177"/>
      <c r="V268" s="177"/>
      <c r="W268" s="177"/>
      <c r="X268" s="177"/>
      <c r="Y268" s="177"/>
      <c r="Z268" s="177"/>
      <c r="AA268" s="177"/>
      <c r="AB268" s="177"/>
      <c r="AC268" s="177"/>
      <c r="AD268" s="177"/>
      <c r="AE268" s="177"/>
    </row>
    <row r="269" spans="1:31" ht="13.5" thickBot="1">
      <c r="A269" s="202"/>
      <c r="B269" s="202"/>
      <c r="C269" s="202"/>
      <c r="D269" s="202"/>
      <c r="E269" s="202"/>
      <c r="F269" s="202"/>
      <c r="G269" s="202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  <c r="R269" s="177"/>
      <c r="S269" s="177"/>
      <c r="T269" s="177"/>
      <c r="U269" s="177"/>
      <c r="V269" s="177"/>
      <c r="W269" s="177"/>
      <c r="X269" s="177"/>
      <c r="Y269" s="177"/>
      <c r="Z269" s="177"/>
      <c r="AA269" s="177"/>
      <c r="AB269" s="177"/>
      <c r="AC269" s="177"/>
      <c r="AD269" s="177"/>
      <c r="AE269" s="177"/>
    </row>
    <row r="270" spans="1:31" ht="13.5" thickBot="1">
      <c r="A270" s="202"/>
      <c r="B270" s="202"/>
      <c r="C270" s="202"/>
      <c r="D270" s="202"/>
      <c r="E270" s="202"/>
      <c r="F270" s="202"/>
      <c r="G270" s="202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77"/>
      <c r="AE270" s="177"/>
    </row>
    <row r="271" spans="1:31" ht="13.5" thickBot="1">
      <c r="A271" s="202"/>
      <c r="B271" s="202"/>
      <c r="C271" s="202"/>
      <c r="D271" s="202"/>
      <c r="E271" s="202"/>
      <c r="F271" s="202"/>
      <c r="G271" s="202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  <c r="R271" s="177"/>
      <c r="S271" s="177"/>
      <c r="T271" s="177"/>
      <c r="U271" s="177"/>
      <c r="V271" s="177"/>
      <c r="W271" s="177"/>
      <c r="X271" s="177"/>
      <c r="Y271" s="177"/>
      <c r="Z271" s="177"/>
      <c r="AA271" s="177"/>
      <c r="AB271" s="177"/>
      <c r="AC271" s="177"/>
      <c r="AD271" s="177"/>
      <c r="AE271" s="177"/>
    </row>
    <row r="272" spans="1:31" ht="13.5" thickBot="1">
      <c r="A272" s="202"/>
      <c r="B272" s="202"/>
      <c r="C272" s="202"/>
      <c r="D272" s="202"/>
      <c r="E272" s="202"/>
      <c r="F272" s="202"/>
      <c r="G272" s="202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  <c r="R272" s="177"/>
      <c r="S272" s="177"/>
      <c r="T272" s="177"/>
      <c r="U272" s="177"/>
      <c r="V272" s="177"/>
      <c r="W272" s="177"/>
      <c r="X272" s="177"/>
      <c r="Y272" s="177"/>
      <c r="Z272" s="177"/>
      <c r="AA272" s="177"/>
      <c r="AB272" s="177"/>
      <c r="AC272" s="177"/>
      <c r="AD272" s="177"/>
      <c r="AE272" s="177"/>
    </row>
    <row r="273" spans="1:31" ht="13.5" thickBot="1">
      <c r="A273" s="202"/>
      <c r="B273" s="202"/>
      <c r="C273" s="202"/>
      <c r="D273" s="202"/>
      <c r="E273" s="202"/>
      <c r="F273" s="202"/>
      <c r="G273" s="202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  <c r="R273" s="177"/>
      <c r="S273" s="177"/>
      <c r="T273" s="177"/>
      <c r="U273" s="177"/>
      <c r="V273" s="177"/>
      <c r="W273" s="177"/>
      <c r="X273" s="177"/>
      <c r="Y273" s="177"/>
      <c r="Z273" s="177"/>
      <c r="AA273" s="177"/>
      <c r="AB273" s="177"/>
      <c r="AC273" s="177"/>
      <c r="AD273" s="177"/>
      <c r="AE273" s="177"/>
    </row>
    <row r="274" spans="1:31" ht="13.5" thickBot="1">
      <c r="A274" s="202"/>
      <c r="B274" s="202"/>
      <c r="C274" s="202"/>
      <c r="D274" s="202"/>
      <c r="E274" s="202"/>
      <c r="F274" s="202"/>
      <c r="G274" s="202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  <c r="R274" s="177"/>
      <c r="S274" s="177"/>
      <c r="T274" s="177"/>
      <c r="U274" s="177"/>
      <c r="V274" s="177"/>
      <c r="W274" s="177"/>
      <c r="X274" s="177"/>
      <c r="Y274" s="177"/>
      <c r="Z274" s="177"/>
      <c r="AA274" s="177"/>
      <c r="AB274" s="177"/>
      <c r="AC274" s="177"/>
      <c r="AD274" s="177"/>
      <c r="AE274" s="177"/>
    </row>
    <row r="275" spans="1:31" ht="13.5" thickBot="1">
      <c r="A275" s="202"/>
      <c r="B275" s="202"/>
      <c r="C275" s="202"/>
      <c r="D275" s="202"/>
      <c r="E275" s="202"/>
      <c r="F275" s="202"/>
      <c r="G275" s="202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  <c r="R275" s="177"/>
      <c r="S275" s="177"/>
      <c r="T275" s="177"/>
      <c r="U275" s="177"/>
      <c r="V275" s="177"/>
      <c r="W275" s="177"/>
      <c r="X275" s="177"/>
      <c r="Y275" s="177"/>
      <c r="Z275" s="177"/>
      <c r="AA275" s="177"/>
      <c r="AB275" s="177"/>
      <c r="AC275" s="177"/>
      <c r="AD275" s="177"/>
      <c r="AE275" s="177"/>
    </row>
    <row r="276" spans="1:31" ht="13.5" thickBot="1">
      <c r="A276" s="202"/>
      <c r="B276" s="202"/>
      <c r="C276" s="202"/>
      <c r="D276" s="202"/>
      <c r="E276" s="202"/>
      <c r="F276" s="202"/>
      <c r="G276" s="202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  <c r="R276" s="177"/>
      <c r="S276" s="177"/>
      <c r="T276" s="177"/>
      <c r="U276" s="177"/>
      <c r="V276" s="177"/>
      <c r="W276" s="177"/>
      <c r="X276" s="177"/>
      <c r="Y276" s="177"/>
      <c r="Z276" s="177"/>
      <c r="AA276" s="177"/>
      <c r="AB276" s="177"/>
      <c r="AC276" s="177"/>
      <c r="AD276" s="177"/>
      <c r="AE276" s="177"/>
    </row>
    <row r="277" spans="1:31" ht="13.5" thickBot="1">
      <c r="A277" s="202"/>
      <c r="B277" s="202"/>
      <c r="C277" s="202"/>
      <c r="D277" s="202"/>
      <c r="E277" s="202"/>
      <c r="F277" s="202"/>
      <c r="G277" s="202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  <c r="R277" s="177"/>
      <c r="S277" s="177"/>
      <c r="T277" s="177"/>
      <c r="U277" s="177"/>
      <c r="V277" s="177"/>
      <c r="W277" s="177"/>
      <c r="X277" s="177"/>
      <c r="Y277" s="177"/>
      <c r="Z277" s="177"/>
      <c r="AA277" s="177"/>
      <c r="AB277" s="177"/>
      <c r="AC277" s="177"/>
      <c r="AD277" s="177"/>
      <c r="AE277" s="177"/>
    </row>
    <row r="278" spans="1:31" ht="13.5" thickBot="1">
      <c r="A278" s="202"/>
      <c r="B278" s="202"/>
      <c r="C278" s="202"/>
      <c r="D278" s="202"/>
      <c r="E278" s="202"/>
      <c r="F278" s="202"/>
      <c r="G278" s="202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  <c r="R278" s="177"/>
      <c r="S278" s="177"/>
      <c r="T278" s="177"/>
      <c r="U278" s="177"/>
      <c r="V278" s="177"/>
      <c r="W278" s="177"/>
      <c r="X278" s="177"/>
      <c r="Y278" s="177"/>
      <c r="Z278" s="177"/>
      <c r="AA278" s="177"/>
      <c r="AB278" s="177"/>
      <c r="AC278" s="177"/>
      <c r="AD278" s="177"/>
      <c r="AE278" s="177"/>
    </row>
    <row r="279" spans="1:31" ht="13.5" thickBot="1">
      <c r="A279" s="202"/>
      <c r="B279" s="202"/>
      <c r="C279" s="202"/>
      <c r="D279" s="202"/>
      <c r="E279" s="202"/>
      <c r="F279" s="202"/>
      <c r="G279" s="202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  <c r="R279" s="177"/>
      <c r="S279" s="177"/>
      <c r="T279" s="177"/>
      <c r="U279" s="177"/>
      <c r="V279" s="177"/>
      <c r="W279" s="177"/>
      <c r="X279" s="177"/>
      <c r="Y279" s="177"/>
      <c r="Z279" s="177"/>
      <c r="AA279" s="177"/>
      <c r="AB279" s="177"/>
      <c r="AC279" s="177"/>
      <c r="AD279" s="177"/>
      <c r="AE279" s="177"/>
    </row>
    <row r="280" spans="1:31" ht="13.5" thickBot="1">
      <c r="A280" s="202"/>
      <c r="B280" s="202"/>
      <c r="C280" s="202"/>
      <c r="D280" s="202"/>
      <c r="E280" s="202"/>
      <c r="F280" s="202"/>
      <c r="G280" s="202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  <c r="R280" s="177"/>
      <c r="S280" s="177"/>
      <c r="T280" s="177"/>
      <c r="U280" s="177"/>
      <c r="V280" s="177"/>
      <c r="W280" s="177"/>
      <c r="X280" s="177"/>
      <c r="Y280" s="177"/>
      <c r="Z280" s="177"/>
      <c r="AA280" s="177"/>
      <c r="AB280" s="177"/>
      <c r="AC280" s="177"/>
      <c r="AD280" s="177"/>
      <c r="AE280" s="177"/>
    </row>
    <row r="281" spans="1:31" ht="13.5" thickBot="1">
      <c r="A281" s="202"/>
      <c r="B281" s="202"/>
      <c r="C281" s="202"/>
      <c r="D281" s="202"/>
      <c r="E281" s="202"/>
      <c r="F281" s="202"/>
      <c r="G281" s="202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X281" s="177"/>
      <c r="Y281" s="177"/>
      <c r="Z281" s="177"/>
      <c r="AA281" s="177"/>
      <c r="AB281" s="177"/>
      <c r="AC281" s="177"/>
      <c r="AD281" s="177"/>
      <c r="AE281" s="177"/>
    </row>
    <row r="282" spans="1:31" ht="13.5" thickBot="1">
      <c r="A282" s="202"/>
      <c r="B282" s="202"/>
      <c r="C282" s="202"/>
      <c r="D282" s="202"/>
      <c r="E282" s="202"/>
      <c r="F282" s="202"/>
      <c r="G282" s="202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  <c r="R282" s="177"/>
      <c r="S282" s="177"/>
      <c r="T282" s="177"/>
      <c r="U282" s="177"/>
      <c r="V282" s="177"/>
      <c r="W282" s="177"/>
      <c r="X282" s="177"/>
      <c r="Y282" s="177"/>
      <c r="Z282" s="177"/>
      <c r="AA282" s="177"/>
      <c r="AB282" s="177"/>
      <c r="AC282" s="177"/>
      <c r="AD282" s="177"/>
      <c r="AE282" s="177"/>
    </row>
    <row r="283" spans="1:31" ht="13.5" thickBot="1">
      <c r="A283" s="202"/>
      <c r="B283" s="202"/>
      <c r="C283" s="202"/>
      <c r="D283" s="202"/>
      <c r="E283" s="202"/>
      <c r="F283" s="202"/>
      <c r="G283" s="202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  <c r="R283" s="177"/>
      <c r="S283" s="177"/>
      <c r="T283" s="177"/>
      <c r="U283" s="177"/>
      <c r="V283" s="177"/>
      <c r="W283" s="177"/>
      <c r="X283" s="177"/>
      <c r="Y283" s="177"/>
      <c r="Z283" s="177"/>
      <c r="AA283" s="177"/>
      <c r="AB283" s="177"/>
      <c r="AC283" s="177"/>
      <c r="AD283" s="177"/>
      <c r="AE283" s="177"/>
    </row>
    <row r="284" spans="1:31" ht="13.5" thickBot="1">
      <c r="A284" s="202"/>
      <c r="B284" s="202"/>
      <c r="C284" s="202"/>
      <c r="D284" s="202"/>
      <c r="E284" s="202"/>
      <c r="F284" s="202"/>
      <c r="G284" s="202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  <c r="R284" s="177"/>
      <c r="S284" s="177"/>
      <c r="T284" s="177"/>
      <c r="U284" s="177"/>
      <c r="V284" s="177"/>
      <c r="W284" s="177"/>
      <c r="X284" s="177"/>
      <c r="Y284" s="177"/>
      <c r="Z284" s="177"/>
      <c r="AA284" s="177"/>
      <c r="AB284" s="177"/>
      <c r="AC284" s="177"/>
      <c r="AD284" s="177"/>
      <c r="AE284" s="177"/>
    </row>
    <row r="285" spans="1:31" ht="13.5" thickBot="1">
      <c r="A285" s="202"/>
      <c r="B285" s="202"/>
      <c r="C285" s="202"/>
      <c r="D285" s="202"/>
      <c r="E285" s="202"/>
      <c r="F285" s="202"/>
      <c r="G285" s="202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  <c r="R285" s="177"/>
      <c r="S285" s="177"/>
      <c r="T285" s="177"/>
      <c r="U285" s="177"/>
      <c r="V285" s="177"/>
      <c r="W285" s="177"/>
      <c r="X285" s="177"/>
      <c r="Y285" s="177"/>
      <c r="Z285" s="177"/>
      <c r="AA285" s="177"/>
      <c r="AB285" s="177"/>
      <c r="AC285" s="177"/>
      <c r="AD285" s="177"/>
      <c r="AE285" s="177"/>
    </row>
    <row r="286" spans="1:31" ht="13.5" thickBot="1">
      <c r="A286" s="202"/>
      <c r="B286" s="202"/>
      <c r="C286" s="202"/>
      <c r="D286" s="202"/>
      <c r="E286" s="202"/>
      <c r="F286" s="202"/>
      <c r="G286" s="202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  <c r="R286" s="177"/>
      <c r="S286" s="177"/>
      <c r="T286" s="177"/>
      <c r="U286" s="177"/>
      <c r="V286" s="177"/>
      <c r="W286" s="177"/>
      <c r="X286" s="177"/>
      <c r="Y286" s="177"/>
      <c r="Z286" s="177"/>
      <c r="AA286" s="177"/>
      <c r="AB286" s="177"/>
      <c r="AC286" s="177"/>
      <c r="AD286" s="177"/>
      <c r="AE286" s="177"/>
    </row>
    <row r="287" spans="1:31" ht="13.5" thickBot="1">
      <c r="A287" s="202"/>
      <c r="B287" s="202"/>
      <c r="C287" s="202"/>
      <c r="D287" s="202"/>
      <c r="E287" s="202"/>
      <c r="F287" s="202"/>
      <c r="G287" s="202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  <c r="R287" s="177"/>
      <c r="S287" s="177"/>
      <c r="T287" s="177"/>
      <c r="U287" s="177"/>
      <c r="V287" s="177"/>
      <c r="W287" s="177"/>
      <c r="X287" s="177"/>
      <c r="Y287" s="177"/>
      <c r="Z287" s="177"/>
      <c r="AA287" s="177"/>
      <c r="AB287" s="177"/>
      <c r="AC287" s="177"/>
      <c r="AD287" s="177"/>
      <c r="AE287" s="177"/>
    </row>
    <row r="288" spans="1:31" ht="13.5" thickBot="1">
      <c r="A288" s="202"/>
      <c r="B288" s="202"/>
      <c r="C288" s="202"/>
      <c r="D288" s="202"/>
      <c r="E288" s="202"/>
      <c r="F288" s="202"/>
      <c r="G288" s="202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  <c r="R288" s="177"/>
      <c r="S288" s="177"/>
      <c r="T288" s="177"/>
      <c r="U288" s="177"/>
      <c r="V288" s="177"/>
      <c r="W288" s="177"/>
      <c r="X288" s="177"/>
      <c r="Y288" s="177"/>
      <c r="Z288" s="177"/>
      <c r="AA288" s="177"/>
      <c r="AB288" s="177"/>
      <c r="AC288" s="177"/>
      <c r="AD288" s="177"/>
      <c r="AE288" s="177"/>
    </row>
    <row r="289" spans="1:31" ht="13.5" thickBot="1">
      <c r="A289" s="202"/>
      <c r="B289" s="202"/>
      <c r="C289" s="202"/>
      <c r="D289" s="202"/>
      <c r="E289" s="202"/>
      <c r="F289" s="202"/>
      <c r="G289" s="202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  <c r="R289" s="177"/>
      <c r="S289" s="177"/>
      <c r="T289" s="177"/>
      <c r="U289" s="177"/>
      <c r="V289" s="177"/>
      <c r="W289" s="177"/>
      <c r="X289" s="177"/>
      <c r="Y289" s="177"/>
      <c r="Z289" s="177"/>
      <c r="AA289" s="177"/>
      <c r="AB289" s="177"/>
      <c r="AC289" s="177"/>
      <c r="AD289" s="177"/>
      <c r="AE289" s="177"/>
    </row>
    <row r="290" spans="1:31" ht="13.5" thickBot="1">
      <c r="A290" s="202"/>
      <c r="B290" s="202"/>
      <c r="C290" s="202"/>
      <c r="D290" s="202"/>
      <c r="E290" s="202"/>
      <c r="F290" s="202"/>
      <c r="G290" s="202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  <c r="R290" s="177"/>
      <c r="S290" s="177"/>
      <c r="T290" s="177"/>
      <c r="U290" s="177"/>
      <c r="V290" s="177"/>
      <c r="W290" s="177"/>
      <c r="X290" s="177"/>
      <c r="Y290" s="177"/>
      <c r="Z290" s="177"/>
      <c r="AA290" s="177"/>
      <c r="AB290" s="177"/>
      <c r="AC290" s="177"/>
      <c r="AD290" s="177"/>
      <c r="AE290" s="177"/>
    </row>
    <row r="291" spans="1:31" ht="13.5" thickBot="1">
      <c r="A291" s="202"/>
      <c r="B291" s="202"/>
      <c r="C291" s="202"/>
      <c r="D291" s="202"/>
      <c r="E291" s="202"/>
      <c r="F291" s="202"/>
      <c r="G291" s="202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  <c r="R291" s="177"/>
      <c r="S291" s="177"/>
      <c r="T291" s="177"/>
      <c r="U291" s="177"/>
      <c r="V291" s="177"/>
      <c r="W291" s="177"/>
      <c r="X291" s="177"/>
      <c r="Y291" s="177"/>
      <c r="Z291" s="177"/>
      <c r="AA291" s="177"/>
      <c r="AB291" s="177"/>
      <c r="AC291" s="177"/>
      <c r="AD291" s="177"/>
      <c r="AE291" s="177"/>
    </row>
    <row r="292" spans="1:31" ht="13.5" thickBot="1">
      <c r="A292" s="202"/>
      <c r="B292" s="202"/>
      <c r="C292" s="202"/>
      <c r="D292" s="202"/>
      <c r="E292" s="202"/>
      <c r="F292" s="202"/>
      <c r="G292" s="202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  <c r="R292" s="177"/>
      <c r="S292" s="177"/>
      <c r="T292" s="177"/>
      <c r="U292" s="177"/>
      <c r="V292" s="177"/>
      <c r="W292" s="177"/>
      <c r="X292" s="177"/>
      <c r="Y292" s="177"/>
      <c r="Z292" s="177"/>
      <c r="AA292" s="177"/>
      <c r="AB292" s="177"/>
      <c r="AC292" s="177"/>
      <c r="AD292" s="177"/>
      <c r="AE292" s="177"/>
    </row>
    <row r="293" spans="1:31" ht="13.5" thickBot="1">
      <c r="A293" s="202"/>
      <c r="B293" s="202"/>
      <c r="C293" s="202"/>
      <c r="D293" s="202"/>
      <c r="E293" s="202"/>
      <c r="F293" s="202"/>
      <c r="G293" s="202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  <c r="R293" s="177"/>
      <c r="S293" s="177"/>
      <c r="T293" s="177"/>
      <c r="U293" s="177"/>
      <c r="V293" s="177"/>
      <c r="W293" s="177"/>
      <c r="X293" s="177"/>
      <c r="Y293" s="177"/>
      <c r="Z293" s="177"/>
      <c r="AA293" s="177"/>
      <c r="AB293" s="177"/>
      <c r="AC293" s="177"/>
      <c r="AD293" s="177"/>
      <c r="AE293" s="177"/>
    </row>
    <row r="294" spans="1:31" ht="13.5" thickBot="1">
      <c r="A294" s="202"/>
      <c r="B294" s="202"/>
      <c r="C294" s="202"/>
      <c r="D294" s="202"/>
      <c r="E294" s="202"/>
      <c r="F294" s="202"/>
      <c r="G294" s="202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  <c r="R294" s="177"/>
      <c r="S294" s="177"/>
      <c r="T294" s="177"/>
      <c r="U294" s="177"/>
      <c r="V294" s="177"/>
      <c r="W294" s="177"/>
      <c r="X294" s="177"/>
      <c r="Y294" s="177"/>
      <c r="Z294" s="177"/>
      <c r="AA294" s="177"/>
      <c r="AB294" s="177"/>
      <c r="AC294" s="177"/>
      <c r="AD294" s="177"/>
      <c r="AE294" s="177"/>
    </row>
    <row r="295" spans="1:31" ht="13.5" thickBot="1">
      <c r="A295" s="202"/>
      <c r="B295" s="202"/>
      <c r="C295" s="202"/>
      <c r="D295" s="202"/>
      <c r="E295" s="202"/>
      <c r="F295" s="202"/>
      <c r="G295" s="202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  <c r="R295" s="177"/>
      <c r="S295" s="177"/>
      <c r="T295" s="177"/>
      <c r="U295" s="177"/>
      <c r="V295" s="177"/>
      <c r="W295" s="177"/>
      <c r="X295" s="177"/>
      <c r="Y295" s="177"/>
      <c r="Z295" s="177"/>
      <c r="AA295" s="177"/>
      <c r="AB295" s="177"/>
      <c r="AC295" s="177"/>
      <c r="AD295" s="177"/>
      <c r="AE295" s="177"/>
    </row>
    <row r="296" spans="1:31" ht="13.5" thickBot="1">
      <c r="A296" s="202"/>
      <c r="B296" s="202"/>
      <c r="C296" s="202"/>
      <c r="D296" s="202"/>
      <c r="E296" s="202"/>
      <c r="F296" s="202"/>
      <c r="G296" s="202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  <c r="R296" s="177"/>
      <c r="S296" s="177"/>
      <c r="T296" s="177"/>
      <c r="U296" s="177"/>
      <c r="V296" s="177"/>
      <c r="W296" s="177"/>
      <c r="X296" s="177"/>
      <c r="Y296" s="177"/>
      <c r="Z296" s="177"/>
      <c r="AA296" s="177"/>
      <c r="AB296" s="177"/>
      <c r="AC296" s="177"/>
      <c r="AD296" s="177"/>
      <c r="AE296" s="177"/>
    </row>
    <row r="297" spans="1:31" ht="13.5" thickBot="1">
      <c r="A297" s="202"/>
      <c r="B297" s="202"/>
      <c r="C297" s="202"/>
      <c r="D297" s="202"/>
      <c r="E297" s="202"/>
      <c r="F297" s="202"/>
      <c r="G297" s="202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  <c r="R297" s="177"/>
      <c r="S297" s="177"/>
      <c r="T297" s="177"/>
      <c r="U297" s="177"/>
      <c r="V297" s="177"/>
      <c r="W297" s="177"/>
      <c r="X297" s="177"/>
      <c r="Y297" s="177"/>
      <c r="Z297" s="177"/>
      <c r="AA297" s="177"/>
      <c r="AB297" s="177"/>
      <c r="AC297" s="177"/>
      <c r="AD297" s="177"/>
      <c r="AE297" s="177"/>
    </row>
    <row r="298" spans="1:31" ht="13.5" thickBot="1">
      <c r="A298" s="202"/>
      <c r="B298" s="202"/>
      <c r="C298" s="202"/>
      <c r="D298" s="202"/>
      <c r="E298" s="202"/>
      <c r="F298" s="202"/>
      <c r="G298" s="202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  <c r="R298" s="177"/>
      <c r="S298" s="177"/>
      <c r="T298" s="177"/>
      <c r="U298" s="177"/>
      <c r="V298" s="177"/>
      <c r="W298" s="177"/>
      <c r="X298" s="177"/>
      <c r="Y298" s="177"/>
      <c r="Z298" s="177"/>
      <c r="AA298" s="177"/>
      <c r="AB298" s="177"/>
      <c r="AC298" s="177"/>
      <c r="AD298" s="177"/>
      <c r="AE298" s="177"/>
    </row>
    <row r="299" spans="1:31" ht="13.5" thickBot="1">
      <c r="A299" s="202"/>
      <c r="B299" s="202"/>
      <c r="C299" s="202"/>
      <c r="D299" s="202"/>
      <c r="E299" s="202"/>
      <c r="F299" s="202"/>
      <c r="G299" s="202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  <c r="R299" s="177"/>
      <c r="S299" s="177"/>
      <c r="T299" s="177"/>
      <c r="U299" s="177"/>
      <c r="V299" s="177"/>
      <c r="W299" s="177"/>
      <c r="X299" s="177"/>
      <c r="Y299" s="177"/>
      <c r="Z299" s="177"/>
      <c r="AA299" s="177"/>
      <c r="AB299" s="177"/>
      <c r="AC299" s="177"/>
      <c r="AD299" s="177"/>
      <c r="AE299" s="177"/>
    </row>
    <row r="300" spans="1:31" ht="13.5" thickBot="1">
      <c r="A300" s="202"/>
      <c r="B300" s="202"/>
      <c r="C300" s="202"/>
      <c r="D300" s="202"/>
      <c r="E300" s="202"/>
      <c r="F300" s="202"/>
      <c r="G300" s="202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  <c r="R300" s="177"/>
      <c r="S300" s="177"/>
      <c r="T300" s="177"/>
      <c r="U300" s="177"/>
      <c r="V300" s="177"/>
      <c r="W300" s="177"/>
      <c r="X300" s="177"/>
      <c r="Y300" s="177"/>
      <c r="Z300" s="177"/>
      <c r="AA300" s="177"/>
      <c r="AB300" s="177"/>
      <c r="AC300" s="177"/>
      <c r="AD300" s="177"/>
      <c r="AE300" s="177"/>
    </row>
    <row r="301" spans="1:31" ht="13.5" thickBot="1">
      <c r="A301" s="202"/>
      <c r="B301" s="202"/>
      <c r="C301" s="202"/>
      <c r="D301" s="202"/>
      <c r="E301" s="202"/>
      <c r="F301" s="202"/>
      <c r="G301" s="202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  <c r="R301" s="177"/>
      <c r="S301" s="177"/>
      <c r="T301" s="177"/>
      <c r="U301" s="177"/>
      <c r="V301" s="177"/>
      <c r="W301" s="177"/>
      <c r="X301" s="177"/>
      <c r="Y301" s="177"/>
      <c r="Z301" s="177"/>
      <c r="AA301" s="177"/>
      <c r="AB301" s="177"/>
      <c r="AC301" s="177"/>
      <c r="AD301" s="177"/>
      <c r="AE301" s="177"/>
    </row>
    <row r="302" spans="1:31" ht="13.5" thickBot="1">
      <c r="A302" s="202"/>
      <c r="B302" s="202"/>
      <c r="C302" s="202"/>
      <c r="D302" s="202"/>
      <c r="E302" s="202"/>
      <c r="F302" s="202"/>
      <c r="G302" s="202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  <c r="R302" s="177"/>
      <c r="S302" s="177"/>
      <c r="T302" s="177"/>
      <c r="U302" s="177"/>
      <c r="V302" s="177"/>
      <c r="W302" s="177"/>
      <c r="X302" s="177"/>
      <c r="Y302" s="177"/>
      <c r="Z302" s="177"/>
      <c r="AA302" s="177"/>
      <c r="AB302" s="177"/>
      <c r="AC302" s="177"/>
      <c r="AD302" s="177"/>
      <c r="AE302" s="177"/>
    </row>
    <row r="303" spans="1:31" ht="13.5" thickBot="1">
      <c r="A303" s="202"/>
      <c r="B303" s="202"/>
      <c r="C303" s="202"/>
      <c r="D303" s="202"/>
      <c r="E303" s="202"/>
      <c r="F303" s="202"/>
      <c r="G303" s="202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  <c r="R303" s="177"/>
      <c r="S303" s="177"/>
      <c r="T303" s="177"/>
      <c r="U303" s="177"/>
      <c r="V303" s="177"/>
      <c r="W303" s="177"/>
      <c r="X303" s="177"/>
      <c r="Y303" s="177"/>
      <c r="Z303" s="177"/>
      <c r="AA303" s="177"/>
      <c r="AB303" s="177"/>
      <c r="AC303" s="177"/>
      <c r="AD303" s="177"/>
      <c r="AE303" s="177"/>
    </row>
    <row r="304" spans="1:31" ht="13.5" thickBot="1">
      <c r="A304" s="202"/>
      <c r="B304" s="202"/>
      <c r="C304" s="202"/>
      <c r="D304" s="202"/>
      <c r="E304" s="202"/>
      <c r="F304" s="202"/>
      <c r="G304" s="202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  <c r="R304" s="177"/>
      <c r="S304" s="177"/>
      <c r="T304" s="177"/>
      <c r="U304" s="177"/>
      <c r="V304" s="177"/>
      <c r="W304" s="177"/>
      <c r="X304" s="177"/>
      <c r="Y304" s="177"/>
      <c r="Z304" s="177"/>
      <c r="AA304" s="177"/>
      <c r="AB304" s="177"/>
      <c r="AC304" s="177"/>
      <c r="AD304" s="177"/>
      <c r="AE304" s="177"/>
    </row>
    <row r="305" spans="1:31" ht="13.5" thickBot="1">
      <c r="A305" s="202"/>
      <c r="B305" s="202"/>
      <c r="C305" s="202"/>
      <c r="D305" s="202"/>
      <c r="E305" s="202"/>
      <c r="F305" s="202"/>
      <c r="G305" s="202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  <c r="R305" s="177"/>
      <c r="S305" s="177"/>
      <c r="T305" s="177"/>
      <c r="U305" s="177"/>
      <c r="V305" s="177"/>
      <c r="W305" s="177"/>
      <c r="X305" s="177"/>
      <c r="Y305" s="177"/>
      <c r="Z305" s="177"/>
      <c r="AA305" s="177"/>
      <c r="AB305" s="177"/>
      <c r="AC305" s="177"/>
      <c r="AD305" s="177"/>
      <c r="AE305" s="177"/>
    </row>
    <row r="306" spans="1:31" ht="13.5" thickBot="1">
      <c r="A306" s="202"/>
      <c r="B306" s="202"/>
      <c r="C306" s="202"/>
      <c r="D306" s="202"/>
      <c r="E306" s="202"/>
      <c r="F306" s="202"/>
      <c r="G306" s="202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  <c r="R306" s="177"/>
      <c r="S306" s="177"/>
      <c r="T306" s="177"/>
      <c r="U306" s="177"/>
      <c r="V306" s="177"/>
      <c r="W306" s="177"/>
      <c r="X306" s="177"/>
      <c r="Y306" s="177"/>
      <c r="Z306" s="177"/>
      <c r="AA306" s="177"/>
      <c r="AB306" s="177"/>
      <c r="AC306" s="177"/>
      <c r="AD306" s="177"/>
      <c r="AE306" s="177"/>
    </row>
    <row r="307" spans="1:31" ht="13.5" thickBot="1">
      <c r="A307" s="202"/>
      <c r="B307" s="202"/>
      <c r="C307" s="202"/>
      <c r="D307" s="202"/>
      <c r="E307" s="202"/>
      <c r="F307" s="202"/>
      <c r="G307" s="202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  <c r="R307" s="177"/>
      <c r="S307" s="177"/>
      <c r="T307" s="177"/>
      <c r="U307" s="177"/>
      <c r="V307" s="177"/>
      <c r="W307" s="177"/>
      <c r="X307" s="177"/>
      <c r="Y307" s="177"/>
      <c r="Z307" s="177"/>
      <c r="AA307" s="177"/>
      <c r="AB307" s="177"/>
      <c r="AC307" s="177"/>
      <c r="AD307" s="177"/>
      <c r="AE307" s="177"/>
    </row>
    <row r="308" spans="1:31" ht="13.5" thickBot="1">
      <c r="A308" s="202"/>
      <c r="B308" s="202"/>
      <c r="C308" s="202"/>
      <c r="D308" s="202"/>
      <c r="E308" s="202"/>
      <c r="F308" s="202"/>
      <c r="G308" s="202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  <c r="R308" s="177"/>
      <c r="S308" s="177"/>
      <c r="T308" s="177"/>
      <c r="U308" s="177"/>
      <c r="V308" s="177"/>
      <c r="W308" s="177"/>
      <c r="X308" s="177"/>
      <c r="Y308" s="177"/>
      <c r="Z308" s="177"/>
      <c r="AA308" s="177"/>
      <c r="AB308" s="177"/>
      <c r="AC308" s="177"/>
      <c r="AD308" s="177"/>
      <c r="AE308" s="177"/>
    </row>
    <row r="309" spans="1:31" ht="13.5" thickBot="1">
      <c r="A309" s="202"/>
      <c r="B309" s="202"/>
      <c r="C309" s="202"/>
      <c r="D309" s="202"/>
      <c r="E309" s="202"/>
      <c r="F309" s="202"/>
      <c r="G309" s="202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</row>
    <row r="310" spans="1:31" ht="13.5" thickBot="1">
      <c r="A310" s="202"/>
      <c r="B310" s="202"/>
      <c r="C310" s="202"/>
      <c r="D310" s="202"/>
      <c r="E310" s="202"/>
      <c r="F310" s="202"/>
      <c r="G310" s="202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  <c r="R310" s="177"/>
      <c r="S310" s="177"/>
      <c r="T310" s="177"/>
      <c r="U310" s="177"/>
      <c r="V310" s="177"/>
      <c r="W310" s="177"/>
      <c r="X310" s="177"/>
      <c r="Y310" s="177"/>
      <c r="Z310" s="177"/>
      <c r="AA310" s="177"/>
      <c r="AB310" s="177"/>
      <c r="AC310" s="177"/>
      <c r="AD310" s="177"/>
      <c r="AE310" s="177"/>
    </row>
    <row r="311" spans="1:31" ht="13.5" thickBot="1">
      <c r="A311" s="202"/>
      <c r="B311" s="202"/>
      <c r="C311" s="202"/>
      <c r="D311" s="202"/>
      <c r="E311" s="202"/>
      <c r="F311" s="202"/>
      <c r="G311" s="202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  <c r="R311" s="177"/>
      <c r="S311" s="177"/>
      <c r="T311" s="177"/>
      <c r="U311" s="177"/>
      <c r="V311" s="177"/>
      <c r="W311" s="177"/>
      <c r="X311" s="177"/>
      <c r="Y311" s="177"/>
      <c r="Z311" s="177"/>
      <c r="AA311" s="177"/>
      <c r="AB311" s="177"/>
      <c r="AC311" s="177"/>
      <c r="AD311" s="177"/>
      <c r="AE311" s="177"/>
    </row>
    <row r="312" spans="1:31" ht="13.5" thickBot="1">
      <c r="A312" s="202"/>
      <c r="B312" s="202"/>
      <c r="C312" s="202"/>
      <c r="D312" s="202"/>
      <c r="E312" s="202"/>
      <c r="F312" s="202"/>
      <c r="G312" s="202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  <c r="R312" s="177"/>
      <c r="S312" s="177"/>
      <c r="T312" s="177"/>
      <c r="U312" s="177"/>
      <c r="V312" s="177"/>
      <c r="W312" s="177"/>
      <c r="X312" s="177"/>
      <c r="Y312" s="177"/>
      <c r="Z312" s="177"/>
      <c r="AA312" s="177"/>
      <c r="AB312" s="177"/>
      <c r="AC312" s="177"/>
      <c r="AD312" s="177"/>
      <c r="AE312" s="177"/>
    </row>
    <row r="313" spans="1:31" ht="13.5" thickBot="1">
      <c r="A313" s="202"/>
      <c r="B313" s="202"/>
      <c r="C313" s="202"/>
      <c r="D313" s="202"/>
      <c r="E313" s="202"/>
      <c r="F313" s="202"/>
      <c r="G313" s="202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  <c r="R313" s="177"/>
      <c r="S313" s="177"/>
      <c r="T313" s="177"/>
      <c r="U313" s="177"/>
      <c r="V313" s="177"/>
      <c r="W313" s="177"/>
      <c r="X313" s="177"/>
      <c r="Y313" s="177"/>
      <c r="Z313" s="177"/>
      <c r="AA313" s="177"/>
      <c r="AB313" s="177"/>
      <c r="AC313" s="177"/>
      <c r="AD313" s="177"/>
      <c r="AE313" s="177"/>
    </row>
    <row r="314" spans="1:31" ht="13.5" thickBot="1">
      <c r="A314" s="202"/>
      <c r="B314" s="202"/>
      <c r="C314" s="202"/>
      <c r="D314" s="202"/>
      <c r="E314" s="202"/>
      <c r="F314" s="202"/>
      <c r="G314" s="202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  <c r="R314" s="177"/>
      <c r="S314" s="177"/>
      <c r="T314" s="177"/>
      <c r="U314" s="177"/>
      <c r="V314" s="177"/>
      <c r="W314" s="177"/>
      <c r="X314" s="177"/>
      <c r="Y314" s="177"/>
      <c r="Z314" s="177"/>
      <c r="AA314" s="177"/>
      <c r="AB314" s="177"/>
      <c r="AC314" s="177"/>
      <c r="AD314" s="177"/>
      <c r="AE314" s="177"/>
    </row>
    <row r="315" spans="1:31" ht="13.5" thickBot="1">
      <c r="A315" s="202"/>
      <c r="B315" s="202"/>
      <c r="C315" s="202"/>
      <c r="D315" s="202"/>
      <c r="E315" s="202"/>
      <c r="F315" s="202"/>
      <c r="G315" s="202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  <c r="R315" s="177"/>
      <c r="S315" s="177"/>
      <c r="T315" s="177"/>
      <c r="U315" s="177"/>
      <c r="V315" s="177"/>
      <c r="W315" s="177"/>
      <c r="X315" s="177"/>
      <c r="Y315" s="177"/>
      <c r="Z315" s="177"/>
      <c r="AA315" s="177"/>
      <c r="AB315" s="177"/>
      <c r="AC315" s="177"/>
      <c r="AD315" s="177"/>
      <c r="AE315" s="177"/>
    </row>
    <row r="316" spans="1:31" ht="13.5" thickBot="1">
      <c r="A316" s="202"/>
      <c r="B316" s="202"/>
      <c r="C316" s="202"/>
      <c r="D316" s="202"/>
      <c r="E316" s="202"/>
      <c r="F316" s="202"/>
      <c r="G316" s="202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  <c r="R316" s="177"/>
      <c r="S316" s="177"/>
      <c r="T316" s="177"/>
      <c r="U316" s="177"/>
      <c r="V316" s="177"/>
      <c r="W316" s="177"/>
      <c r="X316" s="177"/>
      <c r="Y316" s="177"/>
      <c r="Z316" s="177"/>
      <c r="AA316" s="177"/>
      <c r="AB316" s="177"/>
      <c r="AC316" s="177"/>
      <c r="AD316" s="177"/>
      <c r="AE316" s="177"/>
    </row>
    <row r="317" spans="1:31" ht="13.5" thickBot="1">
      <c r="A317" s="202"/>
      <c r="B317" s="202"/>
      <c r="C317" s="202"/>
      <c r="D317" s="202"/>
      <c r="E317" s="202"/>
      <c r="F317" s="202"/>
      <c r="G317" s="202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  <c r="R317" s="177"/>
      <c r="S317" s="177"/>
      <c r="T317" s="177"/>
      <c r="U317" s="177"/>
      <c r="V317" s="177"/>
      <c r="W317" s="177"/>
      <c r="X317" s="177"/>
      <c r="Y317" s="177"/>
      <c r="Z317" s="177"/>
      <c r="AA317" s="177"/>
      <c r="AB317" s="177"/>
      <c r="AC317" s="177"/>
      <c r="AD317" s="177"/>
      <c r="AE317" s="177"/>
    </row>
    <row r="318" spans="1:31" ht="13.5" thickBot="1">
      <c r="A318" s="202"/>
      <c r="B318" s="202"/>
      <c r="C318" s="202"/>
      <c r="D318" s="202"/>
      <c r="E318" s="202"/>
      <c r="F318" s="202"/>
      <c r="G318" s="202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  <c r="R318" s="177"/>
      <c r="S318" s="177"/>
      <c r="T318" s="177"/>
      <c r="U318" s="177"/>
      <c r="V318" s="177"/>
      <c r="W318" s="177"/>
      <c r="X318" s="177"/>
      <c r="Y318" s="177"/>
      <c r="Z318" s="177"/>
      <c r="AA318" s="177"/>
      <c r="AB318" s="177"/>
      <c r="AC318" s="177"/>
      <c r="AD318" s="177"/>
      <c r="AE318" s="177"/>
    </row>
    <row r="319" spans="1:31" ht="13.5" thickBot="1">
      <c r="A319" s="202"/>
      <c r="B319" s="202"/>
      <c r="C319" s="202"/>
      <c r="D319" s="202"/>
      <c r="E319" s="202"/>
      <c r="F319" s="202"/>
      <c r="G319" s="202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  <c r="R319" s="177"/>
      <c r="S319" s="177"/>
      <c r="T319" s="177"/>
      <c r="U319" s="177"/>
      <c r="V319" s="177"/>
      <c r="W319" s="177"/>
      <c r="X319" s="177"/>
      <c r="Y319" s="177"/>
      <c r="Z319" s="177"/>
      <c r="AA319" s="177"/>
      <c r="AB319" s="177"/>
      <c r="AC319" s="177"/>
      <c r="AD319" s="177"/>
      <c r="AE319" s="177"/>
    </row>
    <row r="320" spans="1:31" ht="13.5" thickBot="1">
      <c r="A320" s="202"/>
      <c r="B320" s="202"/>
      <c r="C320" s="202"/>
      <c r="D320" s="202"/>
      <c r="E320" s="202"/>
      <c r="F320" s="202"/>
      <c r="G320" s="202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  <c r="R320" s="177"/>
      <c r="S320" s="177"/>
      <c r="T320" s="177"/>
      <c r="U320" s="177"/>
      <c r="V320" s="177"/>
      <c r="W320" s="177"/>
      <c r="X320" s="177"/>
      <c r="Y320" s="177"/>
      <c r="Z320" s="177"/>
      <c r="AA320" s="177"/>
      <c r="AB320" s="177"/>
      <c r="AC320" s="177"/>
      <c r="AD320" s="177"/>
      <c r="AE320" s="177"/>
    </row>
    <row r="321" spans="1:31" ht="13.5" thickBot="1">
      <c r="A321" s="202"/>
      <c r="B321" s="202"/>
      <c r="C321" s="202"/>
      <c r="D321" s="202"/>
      <c r="E321" s="202"/>
      <c r="F321" s="202"/>
      <c r="G321" s="202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  <c r="R321" s="177"/>
      <c r="S321" s="177"/>
      <c r="T321" s="177"/>
      <c r="U321" s="177"/>
      <c r="V321" s="177"/>
      <c r="W321" s="177"/>
      <c r="X321" s="177"/>
      <c r="Y321" s="177"/>
      <c r="Z321" s="177"/>
      <c r="AA321" s="177"/>
      <c r="AB321" s="177"/>
      <c r="AC321" s="177"/>
      <c r="AD321" s="177"/>
      <c r="AE321" s="177"/>
    </row>
    <row r="322" spans="1:31" ht="13.5" thickBot="1">
      <c r="A322" s="202"/>
      <c r="B322" s="202"/>
      <c r="C322" s="202"/>
      <c r="D322" s="202"/>
      <c r="E322" s="202"/>
      <c r="F322" s="202"/>
      <c r="G322" s="202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  <c r="R322" s="177"/>
      <c r="S322" s="177"/>
      <c r="T322" s="177"/>
      <c r="U322" s="177"/>
      <c r="V322" s="177"/>
      <c r="W322" s="177"/>
      <c r="X322" s="177"/>
      <c r="Y322" s="177"/>
      <c r="Z322" s="177"/>
      <c r="AA322" s="177"/>
      <c r="AB322" s="177"/>
      <c r="AC322" s="177"/>
      <c r="AD322" s="177"/>
      <c r="AE322" s="177"/>
    </row>
    <row r="323" spans="1:31" ht="13.5" thickBot="1">
      <c r="A323" s="202"/>
      <c r="B323" s="202"/>
      <c r="C323" s="202"/>
      <c r="D323" s="202"/>
      <c r="E323" s="202"/>
      <c r="F323" s="202"/>
      <c r="G323" s="202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  <c r="R323" s="177"/>
      <c r="S323" s="177"/>
      <c r="T323" s="177"/>
      <c r="U323" s="177"/>
      <c r="V323" s="177"/>
      <c r="W323" s="177"/>
      <c r="X323" s="177"/>
      <c r="Y323" s="177"/>
      <c r="Z323" s="177"/>
      <c r="AA323" s="177"/>
      <c r="AB323" s="177"/>
      <c r="AC323" s="177"/>
      <c r="AD323" s="177"/>
      <c r="AE323" s="177"/>
    </row>
    <row r="324" spans="1:31" ht="13.5" thickBot="1">
      <c r="A324" s="202"/>
      <c r="B324" s="202"/>
      <c r="C324" s="202"/>
      <c r="D324" s="202"/>
      <c r="E324" s="202"/>
      <c r="F324" s="202"/>
      <c r="G324" s="202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  <c r="R324" s="177"/>
      <c r="S324" s="177"/>
      <c r="T324" s="177"/>
      <c r="U324" s="177"/>
      <c r="V324" s="177"/>
      <c r="W324" s="177"/>
      <c r="X324" s="177"/>
      <c r="Y324" s="177"/>
      <c r="Z324" s="177"/>
      <c r="AA324" s="177"/>
      <c r="AB324" s="177"/>
      <c r="AC324" s="177"/>
      <c r="AD324" s="177"/>
      <c r="AE324" s="177"/>
    </row>
    <row r="325" spans="1:31" ht="13.5" thickBot="1">
      <c r="A325" s="202"/>
      <c r="B325" s="202"/>
      <c r="C325" s="202"/>
      <c r="D325" s="202"/>
      <c r="E325" s="202"/>
      <c r="F325" s="202"/>
      <c r="G325" s="202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  <c r="R325" s="177"/>
      <c r="S325" s="177"/>
      <c r="T325" s="177"/>
      <c r="U325" s="177"/>
      <c r="V325" s="177"/>
      <c r="W325" s="177"/>
      <c r="X325" s="177"/>
      <c r="Y325" s="177"/>
      <c r="Z325" s="177"/>
      <c r="AA325" s="177"/>
      <c r="AB325" s="177"/>
      <c r="AC325" s="177"/>
      <c r="AD325" s="177"/>
      <c r="AE325" s="177"/>
    </row>
    <row r="326" spans="1:31" ht="13.5" thickBot="1">
      <c r="A326" s="202"/>
      <c r="B326" s="202"/>
      <c r="C326" s="202"/>
      <c r="D326" s="202"/>
      <c r="E326" s="202"/>
      <c r="F326" s="202"/>
      <c r="G326" s="202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  <c r="R326" s="177"/>
      <c r="S326" s="177"/>
      <c r="T326" s="177"/>
      <c r="U326" s="177"/>
      <c r="V326" s="177"/>
      <c r="W326" s="177"/>
      <c r="X326" s="177"/>
      <c r="Y326" s="177"/>
      <c r="Z326" s="177"/>
      <c r="AA326" s="177"/>
      <c r="AB326" s="177"/>
      <c r="AC326" s="177"/>
      <c r="AD326" s="177"/>
      <c r="AE326" s="177"/>
    </row>
    <row r="327" spans="1:31" ht="13.5" thickBot="1">
      <c r="A327" s="202"/>
      <c r="B327" s="202"/>
      <c r="C327" s="202"/>
      <c r="D327" s="202"/>
      <c r="E327" s="202"/>
      <c r="F327" s="202"/>
      <c r="G327" s="202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  <c r="R327" s="177"/>
      <c r="S327" s="177"/>
      <c r="T327" s="177"/>
      <c r="U327" s="177"/>
      <c r="V327" s="177"/>
      <c r="W327" s="177"/>
      <c r="X327" s="177"/>
      <c r="Y327" s="177"/>
      <c r="Z327" s="177"/>
      <c r="AA327" s="177"/>
      <c r="AB327" s="177"/>
      <c r="AC327" s="177"/>
      <c r="AD327" s="177"/>
      <c r="AE327" s="177"/>
    </row>
    <row r="328" spans="1:31" ht="13.5" thickBot="1">
      <c r="A328" s="202"/>
      <c r="B328" s="202"/>
      <c r="C328" s="202"/>
      <c r="D328" s="202"/>
      <c r="E328" s="202"/>
      <c r="F328" s="202"/>
      <c r="G328" s="202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  <c r="R328" s="177"/>
      <c r="S328" s="177"/>
      <c r="T328" s="177"/>
      <c r="U328" s="177"/>
      <c r="V328" s="177"/>
      <c r="W328" s="177"/>
      <c r="X328" s="177"/>
      <c r="Y328" s="177"/>
      <c r="Z328" s="177"/>
      <c r="AA328" s="177"/>
      <c r="AB328" s="177"/>
      <c r="AC328" s="177"/>
      <c r="AD328" s="177"/>
      <c r="AE328" s="177"/>
    </row>
    <row r="329" spans="1:31" ht="13.5" thickBot="1">
      <c r="A329" s="202"/>
      <c r="B329" s="202"/>
      <c r="C329" s="202"/>
      <c r="D329" s="202"/>
      <c r="E329" s="202"/>
      <c r="F329" s="202"/>
      <c r="G329" s="202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  <c r="R329" s="177"/>
      <c r="S329" s="177"/>
      <c r="T329" s="177"/>
      <c r="U329" s="177"/>
      <c r="V329" s="177"/>
      <c r="W329" s="177"/>
      <c r="X329" s="177"/>
      <c r="Y329" s="177"/>
      <c r="Z329" s="177"/>
      <c r="AA329" s="177"/>
      <c r="AB329" s="177"/>
      <c r="AC329" s="177"/>
      <c r="AD329" s="177"/>
      <c r="AE329" s="177"/>
    </row>
    <row r="330" spans="1:31" ht="13.5" thickBot="1">
      <c r="A330" s="202"/>
      <c r="B330" s="202"/>
      <c r="C330" s="202"/>
      <c r="D330" s="202"/>
      <c r="E330" s="202"/>
      <c r="F330" s="202"/>
      <c r="G330" s="202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  <c r="R330" s="177"/>
      <c r="S330" s="177"/>
      <c r="T330" s="177"/>
      <c r="U330" s="177"/>
      <c r="V330" s="177"/>
      <c r="W330" s="177"/>
      <c r="X330" s="177"/>
      <c r="Y330" s="177"/>
      <c r="Z330" s="177"/>
      <c r="AA330" s="177"/>
      <c r="AB330" s="177"/>
      <c r="AC330" s="177"/>
      <c r="AD330" s="177"/>
      <c r="AE330" s="177"/>
    </row>
    <row r="331" spans="1:31" ht="13.5" thickBot="1">
      <c r="A331" s="202"/>
      <c r="B331" s="202"/>
      <c r="C331" s="202"/>
      <c r="D331" s="202"/>
      <c r="E331" s="202"/>
      <c r="F331" s="202"/>
      <c r="G331" s="202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  <c r="R331" s="177"/>
      <c r="S331" s="177"/>
      <c r="T331" s="177"/>
      <c r="U331" s="177"/>
      <c r="V331" s="177"/>
      <c r="W331" s="177"/>
      <c r="X331" s="177"/>
      <c r="Y331" s="177"/>
      <c r="Z331" s="177"/>
      <c r="AA331" s="177"/>
      <c r="AB331" s="177"/>
      <c r="AC331" s="177"/>
      <c r="AD331" s="177"/>
      <c r="AE331" s="177"/>
    </row>
    <row r="332" spans="1:31" ht="13.5" thickBot="1">
      <c r="A332" s="202"/>
      <c r="B332" s="202"/>
      <c r="C332" s="202"/>
      <c r="D332" s="202"/>
      <c r="E332" s="202"/>
      <c r="F332" s="202"/>
      <c r="G332" s="202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  <c r="R332" s="177"/>
      <c r="S332" s="177"/>
      <c r="T332" s="177"/>
      <c r="U332" s="177"/>
      <c r="V332" s="177"/>
      <c r="W332" s="177"/>
      <c r="X332" s="177"/>
      <c r="Y332" s="177"/>
      <c r="Z332" s="177"/>
      <c r="AA332" s="177"/>
      <c r="AB332" s="177"/>
      <c r="AC332" s="177"/>
      <c r="AD332" s="177"/>
      <c r="AE332" s="177"/>
    </row>
    <row r="333" spans="1:31" ht="13.5" thickBot="1">
      <c r="A333" s="202"/>
      <c r="B333" s="202"/>
      <c r="C333" s="202"/>
      <c r="D333" s="202"/>
      <c r="E333" s="202"/>
      <c r="F333" s="202"/>
      <c r="G333" s="202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7"/>
      <c r="AA333" s="177"/>
      <c r="AB333" s="177"/>
      <c r="AC333" s="177"/>
      <c r="AD333" s="177"/>
      <c r="AE333" s="177"/>
    </row>
    <row r="334" spans="1:31" ht="13.5" thickBot="1">
      <c r="A334" s="202"/>
      <c r="B334" s="202"/>
      <c r="C334" s="202"/>
      <c r="D334" s="202"/>
      <c r="E334" s="202"/>
      <c r="F334" s="202"/>
      <c r="G334" s="202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  <c r="R334" s="177"/>
      <c r="S334" s="177"/>
      <c r="T334" s="177"/>
      <c r="U334" s="177"/>
      <c r="V334" s="177"/>
      <c r="W334" s="177"/>
      <c r="X334" s="177"/>
      <c r="Y334" s="177"/>
      <c r="Z334" s="177"/>
      <c r="AA334" s="177"/>
      <c r="AB334" s="177"/>
      <c r="AC334" s="177"/>
      <c r="AD334" s="177"/>
      <c r="AE334" s="177"/>
    </row>
    <row r="335" spans="1:31" ht="13.5" thickBot="1">
      <c r="A335" s="202"/>
      <c r="B335" s="202"/>
      <c r="C335" s="202"/>
      <c r="D335" s="202"/>
      <c r="E335" s="202"/>
      <c r="F335" s="202"/>
      <c r="G335" s="202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  <c r="R335" s="177"/>
      <c r="S335" s="177"/>
      <c r="T335" s="177"/>
      <c r="U335" s="177"/>
      <c r="V335" s="177"/>
      <c r="W335" s="177"/>
      <c r="X335" s="177"/>
      <c r="Y335" s="177"/>
      <c r="Z335" s="177"/>
      <c r="AA335" s="177"/>
      <c r="AB335" s="177"/>
      <c r="AC335" s="177"/>
      <c r="AD335" s="177"/>
      <c r="AE335" s="177"/>
    </row>
    <row r="336" spans="1:31" ht="13.5" thickBot="1">
      <c r="A336" s="202"/>
      <c r="B336" s="202"/>
      <c r="C336" s="202"/>
      <c r="D336" s="202"/>
      <c r="E336" s="202"/>
      <c r="F336" s="202"/>
      <c r="G336" s="202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  <c r="R336" s="177"/>
      <c r="S336" s="177"/>
      <c r="T336" s="177"/>
      <c r="U336" s="177"/>
      <c r="V336" s="177"/>
      <c r="W336" s="177"/>
      <c r="X336" s="177"/>
      <c r="Y336" s="177"/>
      <c r="Z336" s="177"/>
      <c r="AA336" s="177"/>
      <c r="AB336" s="177"/>
      <c r="AC336" s="177"/>
      <c r="AD336" s="177"/>
      <c r="AE336" s="177"/>
    </row>
    <row r="337" spans="1:31" ht="13.5" thickBot="1">
      <c r="A337" s="202"/>
      <c r="B337" s="202"/>
      <c r="C337" s="202"/>
      <c r="D337" s="202"/>
      <c r="E337" s="202"/>
      <c r="F337" s="202"/>
      <c r="G337" s="202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  <c r="R337" s="177"/>
      <c r="S337" s="177"/>
      <c r="T337" s="177"/>
      <c r="U337" s="177"/>
      <c r="V337" s="177"/>
      <c r="W337" s="177"/>
      <c r="X337" s="177"/>
      <c r="Y337" s="177"/>
      <c r="Z337" s="177"/>
      <c r="AA337" s="177"/>
      <c r="AB337" s="177"/>
      <c r="AC337" s="177"/>
      <c r="AD337" s="177"/>
      <c r="AE337" s="177"/>
    </row>
    <row r="338" spans="1:31" ht="13.5" thickBot="1">
      <c r="A338" s="202"/>
      <c r="B338" s="202"/>
      <c r="C338" s="202"/>
      <c r="D338" s="202"/>
      <c r="E338" s="202"/>
      <c r="F338" s="202"/>
      <c r="G338" s="202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  <c r="R338" s="177"/>
      <c r="S338" s="177"/>
      <c r="T338" s="177"/>
      <c r="U338" s="177"/>
      <c r="V338" s="177"/>
      <c r="W338" s="177"/>
      <c r="X338" s="177"/>
      <c r="Y338" s="177"/>
      <c r="Z338" s="177"/>
      <c r="AA338" s="177"/>
      <c r="AB338" s="177"/>
      <c r="AC338" s="177"/>
      <c r="AD338" s="177"/>
      <c r="AE338" s="177"/>
    </row>
    <row r="339" spans="1:31" ht="13.5" thickBot="1">
      <c r="A339" s="202"/>
      <c r="B339" s="202"/>
      <c r="C339" s="202"/>
      <c r="D339" s="202"/>
      <c r="E339" s="202"/>
      <c r="F339" s="202"/>
      <c r="G339" s="202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  <c r="R339" s="177"/>
      <c r="S339" s="177"/>
      <c r="T339" s="177"/>
      <c r="U339" s="177"/>
      <c r="V339" s="177"/>
      <c r="W339" s="177"/>
      <c r="X339" s="177"/>
      <c r="Y339" s="177"/>
      <c r="Z339" s="177"/>
      <c r="AA339" s="177"/>
      <c r="AB339" s="177"/>
      <c r="AC339" s="177"/>
      <c r="AD339" s="177"/>
      <c r="AE339" s="177"/>
    </row>
    <row r="340" spans="1:31" ht="13.5" thickBot="1">
      <c r="A340" s="202"/>
      <c r="B340" s="202"/>
      <c r="C340" s="202"/>
      <c r="D340" s="202"/>
      <c r="E340" s="202"/>
      <c r="F340" s="202"/>
      <c r="G340" s="202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  <c r="R340" s="177"/>
      <c r="S340" s="177"/>
      <c r="T340" s="177"/>
      <c r="U340" s="177"/>
      <c r="V340" s="177"/>
      <c r="W340" s="177"/>
      <c r="X340" s="177"/>
      <c r="Y340" s="177"/>
      <c r="Z340" s="177"/>
      <c r="AA340" s="177"/>
      <c r="AB340" s="177"/>
      <c r="AC340" s="177"/>
      <c r="AD340" s="177"/>
      <c r="AE340" s="177"/>
    </row>
    <row r="341" spans="1:31" ht="13.5" thickBot="1">
      <c r="A341" s="202"/>
      <c r="B341" s="202"/>
      <c r="C341" s="202"/>
      <c r="D341" s="202"/>
      <c r="E341" s="202"/>
      <c r="F341" s="202"/>
      <c r="G341" s="202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  <c r="R341" s="177"/>
      <c r="S341" s="177"/>
      <c r="T341" s="177"/>
      <c r="U341" s="177"/>
      <c r="V341" s="177"/>
      <c r="W341" s="177"/>
      <c r="X341" s="177"/>
      <c r="Y341" s="177"/>
      <c r="Z341" s="177"/>
      <c r="AA341" s="177"/>
      <c r="AB341" s="177"/>
      <c r="AC341" s="177"/>
      <c r="AD341" s="177"/>
      <c r="AE341" s="177"/>
    </row>
    <row r="342" spans="1:31" ht="13.5" thickBot="1">
      <c r="A342" s="202"/>
      <c r="B342" s="202"/>
      <c r="C342" s="202"/>
      <c r="D342" s="202"/>
      <c r="E342" s="202"/>
      <c r="F342" s="202"/>
      <c r="G342" s="202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  <c r="R342" s="177"/>
      <c r="S342" s="177"/>
      <c r="T342" s="177"/>
      <c r="U342" s="177"/>
      <c r="V342" s="177"/>
      <c r="W342" s="177"/>
      <c r="X342" s="177"/>
      <c r="Y342" s="177"/>
      <c r="Z342" s="177"/>
      <c r="AA342" s="177"/>
      <c r="AB342" s="177"/>
      <c r="AC342" s="177"/>
      <c r="AD342" s="177"/>
      <c r="AE342" s="177"/>
    </row>
    <row r="343" spans="1:31" ht="13.5" thickBot="1">
      <c r="A343" s="202"/>
      <c r="B343" s="202"/>
      <c r="C343" s="202"/>
      <c r="D343" s="202"/>
      <c r="E343" s="202"/>
      <c r="F343" s="202"/>
      <c r="G343" s="202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  <c r="R343" s="177"/>
      <c r="S343" s="177"/>
      <c r="T343" s="177"/>
      <c r="U343" s="177"/>
      <c r="V343" s="177"/>
      <c r="W343" s="177"/>
      <c r="X343" s="177"/>
      <c r="Y343" s="177"/>
      <c r="Z343" s="177"/>
      <c r="AA343" s="177"/>
      <c r="AB343" s="177"/>
      <c r="AC343" s="177"/>
      <c r="AD343" s="177"/>
      <c r="AE343" s="177"/>
    </row>
    <row r="344" spans="1:31" ht="13.5" thickBot="1">
      <c r="A344" s="202"/>
      <c r="B344" s="202"/>
      <c r="C344" s="202"/>
      <c r="D344" s="202"/>
      <c r="E344" s="202"/>
      <c r="F344" s="202"/>
      <c r="G344" s="202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  <c r="R344" s="177"/>
      <c r="S344" s="177"/>
      <c r="T344" s="177"/>
      <c r="U344" s="177"/>
      <c r="V344" s="177"/>
      <c r="W344" s="177"/>
      <c r="X344" s="177"/>
      <c r="Y344" s="177"/>
      <c r="Z344" s="177"/>
      <c r="AA344" s="177"/>
      <c r="AB344" s="177"/>
      <c r="AC344" s="177"/>
      <c r="AD344" s="177"/>
      <c r="AE344" s="177"/>
    </row>
    <row r="345" spans="1:31" ht="13.5" thickBot="1">
      <c r="A345" s="202"/>
      <c r="B345" s="202"/>
      <c r="C345" s="202"/>
      <c r="D345" s="202"/>
      <c r="E345" s="202"/>
      <c r="F345" s="202"/>
      <c r="G345" s="202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  <c r="R345" s="177"/>
      <c r="S345" s="177"/>
      <c r="T345" s="177"/>
      <c r="U345" s="177"/>
      <c r="V345" s="177"/>
      <c r="W345" s="177"/>
      <c r="X345" s="177"/>
      <c r="Y345" s="177"/>
      <c r="Z345" s="177"/>
      <c r="AA345" s="177"/>
      <c r="AB345" s="177"/>
      <c r="AC345" s="177"/>
      <c r="AD345" s="177"/>
      <c r="AE345" s="177"/>
    </row>
    <row r="346" spans="1:31" ht="13.5" thickBot="1">
      <c r="A346" s="202"/>
      <c r="B346" s="202"/>
      <c r="C346" s="202"/>
      <c r="D346" s="202"/>
      <c r="E346" s="202"/>
      <c r="F346" s="202"/>
      <c r="G346" s="202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  <c r="R346" s="177"/>
      <c r="S346" s="177"/>
      <c r="T346" s="177"/>
      <c r="U346" s="177"/>
      <c r="V346" s="177"/>
      <c r="W346" s="177"/>
      <c r="X346" s="177"/>
      <c r="Y346" s="177"/>
      <c r="Z346" s="177"/>
      <c r="AA346" s="177"/>
      <c r="AB346" s="177"/>
      <c r="AC346" s="177"/>
      <c r="AD346" s="177"/>
      <c r="AE346" s="177"/>
    </row>
    <row r="347" spans="1:31" ht="13.5" thickBot="1">
      <c r="A347" s="202"/>
      <c r="B347" s="202"/>
      <c r="C347" s="202"/>
      <c r="D347" s="202"/>
      <c r="E347" s="202"/>
      <c r="F347" s="202"/>
      <c r="G347" s="202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  <c r="R347" s="177"/>
      <c r="S347" s="177"/>
      <c r="T347" s="177"/>
      <c r="U347" s="177"/>
      <c r="V347" s="177"/>
      <c r="W347" s="177"/>
      <c r="X347" s="177"/>
      <c r="Y347" s="177"/>
      <c r="Z347" s="177"/>
      <c r="AA347" s="177"/>
      <c r="AB347" s="177"/>
      <c r="AC347" s="177"/>
      <c r="AD347" s="177"/>
      <c r="AE347" s="177"/>
    </row>
    <row r="348" spans="1:31" ht="13.5" thickBot="1">
      <c r="A348" s="202"/>
      <c r="B348" s="202"/>
      <c r="C348" s="202"/>
      <c r="D348" s="202"/>
      <c r="E348" s="202"/>
      <c r="F348" s="202"/>
      <c r="G348" s="202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  <c r="R348" s="177"/>
      <c r="S348" s="177"/>
      <c r="T348" s="177"/>
      <c r="U348" s="177"/>
      <c r="V348" s="177"/>
      <c r="W348" s="177"/>
      <c r="X348" s="177"/>
      <c r="Y348" s="177"/>
      <c r="Z348" s="177"/>
      <c r="AA348" s="177"/>
      <c r="AB348" s="177"/>
      <c r="AC348" s="177"/>
      <c r="AD348" s="177"/>
      <c r="AE348" s="177"/>
    </row>
    <row r="349" spans="1:31" ht="13.5" thickBot="1">
      <c r="A349" s="202"/>
      <c r="B349" s="202"/>
      <c r="C349" s="202"/>
      <c r="D349" s="202"/>
      <c r="E349" s="202"/>
      <c r="F349" s="202"/>
      <c r="G349" s="202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  <c r="R349" s="177"/>
      <c r="S349" s="177"/>
      <c r="T349" s="177"/>
      <c r="U349" s="177"/>
      <c r="V349" s="177"/>
      <c r="W349" s="177"/>
      <c r="X349" s="177"/>
      <c r="Y349" s="177"/>
      <c r="Z349" s="177"/>
      <c r="AA349" s="177"/>
      <c r="AB349" s="177"/>
      <c r="AC349" s="177"/>
      <c r="AD349" s="177"/>
      <c r="AE349" s="177"/>
    </row>
    <row r="350" spans="1:31" ht="13.5" thickBot="1">
      <c r="A350" s="202"/>
      <c r="B350" s="202"/>
      <c r="C350" s="202"/>
      <c r="D350" s="202"/>
      <c r="E350" s="202"/>
      <c r="F350" s="202"/>
      <c r="G350" s="202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  <c r="R350" s="177"/>
      <c r="S350" s="177"/>
      <c r="T350" s="177"/>
      <c r="U350" s="177"/>
      <c r="V350" s="177"/>
      <c r="W350" s="177"/>
      <c r="X350" s="177"/>
      <c r="Y350" s="177"/>
      <c r="Z350" s="177"/>
      <c r="AA350" s="177"/>
      <c r="AB350" s="177"/>
      <c r="AC350" s="177"/>
      <c r="AD350" s="177"/>
      <c r="AE350" s="177"/>
    </row>
    <row r="351" spans="1:31" ht="13.5" thickBot="1">
      <c r="A351" s="202"/>
      <c r="B351" s="202"/>
      <c r="C351" s="202"/>
      <c r="D351" s="202"/>
      <c r="E351" s="202"/>
      <c r="F351" s="202"/>
      <c r="G351" s="202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  <c r="R351" s="177"/>
      <c r="S351" s="177"/>
      <c r="T351" s="177"/>
      <c r="U351" s="177"/>
      <c r="V351" s="177"/>
      <c r="W351" s="177"/>
      <c r="X351" s="177"/>
      <c r="Y351" s="177"/>
      <c r="Z351" s="177"/>
      <c r="AA351" s="177"/>
      <c r="AB351" s="177"/>
      <c r="AC351" s="177"/>
      <c r="AD351" s="177"/>
      <c r="AE351" s="177"/>
    </row>
    <row r="352" spans="1:31" ht="13.5" thickBot="1">
      <c r="A352" s="202"/>
      <c r="B352" s="202"/>
      <c r="C352" s="202"/>
      <c r="D352" s="202"/>
      <c r="E352" s="202"/>
      <c r="F352" s="202"/>
      <c r="G352" s="202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  <c r="R352" s="177"/>
      <c r="S352" s="177"/>
      <c r="T352" s="177"/>
      <c r="U352" s="177"/>
      <c r="V352" s="177"/>
      <c r="W352" s="177"/>
      <c r="X352" s="177"/>
      <c r="Y352" s="177"/>
      <c r="Z352" s="177"/>
      <c r="AA352" s="177"/>
      <c r="AB352" s="177"/>
      <c r="AC352" s="177"/>
      <c r="AD352" s="177"/>
      <c r="AE352" s="177"/>
    </row>
    <row r="353" spans="1:31" ht="13.5" thickBot="1">
      <c r="A353" s="202"/>
      <c r="B353" s="202"/>
      <c r="C353" s="202"/>
      <c r="D353" s="202"/>
      <c r="E353" s="202"/>
      <c r="F353" s="202"/>
      <c r="G353" s="202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  <c r="R353" s="177"/>
      <c r="S353" s="177"/>
      <c r="T353" s="177"/>
      <c r="U353" s="177"/>
      <c r="V353" s="177"/>
      <c r="W353" s="177"/>
      <c r="X353" s="177"/>
      <c r="Y353" s="177"/>
      <c r="Z353" s="177"/>
      <c r="AA353" s="177"/>
      <c r="AB353" s="177"/>
      <c r="AC353" s="177"/>
      <c r="AD353" s="177"/>
      <c r="AE353" s="177"/>
    </row>
    <row r="354" spans="1:31" ht="13.5" thickBot="1">
      <c r="A354" s="202"/>
      <c r="B354" s="202"/>
      <c r="C354" s="202"/>
      <c r="D354" s="202"/>
      <c r="E354" s="202"/>
      <c r="F354" s="202"/>
      <c r="G354" s="202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  <c r="R354" s="177"/>
      <c r="S354" s="177"/>
      <c r="T354" s="177"/>
      <c r="U354" s="177"/>
      <c r="V354" s="177"/>
      <c r="W354" s="177"/>
      <c r="X354" s="177"/>
      <c r="Y354" s="177"/>
      <c r="Z354" s="177"/>
      <c r="AA354" s="177"/>
      <c r="AB354" s="177"/>
      <c r="AC354" s="177"/>
      <c r="AD354" s="177"/>
      <c r="AE354" s="177"/>
    </row>
    <row r="355" spans="1:31" ht="13.5" thickBot="1">
      <c r="A355" s="202"/>
      <c r="B355" s="202"/>
      <c r="C355" s="202"/>
      <c r="D355" s="202"/>
      <c r="E355" s="202"/>
      <c r="F355" s="202"/>
      <c r="G355" s="202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  <c r="R355" s="177"/>
      <c r="S355" s="177"/>
      <c r="T355" s="177"/>
      <c r="U355" s="177"/>
      <c r="V355" s="177"/>
      <c r="W355" s="177"/>
      <c r="X355" s="177"/>
      <c r="Y355" s="177"/>
      <c r="Z355" s="177"/>
      <c r="AA355" s="177"/>
      <c r="AB355" s="177"/>
      <c r="AC355" s="177"/>
      <c r="AD355" s="177"/>
      <c r="AE355" s="177"/>
    </row>
    <row r="356" spans="1:31" ht="13.5" thickBot="1">
      <c r="A356" s="202"/>
      <c r="B356" s="202"/>
      <c r="C356" s="202"/>
      <c r="D356" s="202"/>
      <c r="E356" s="202"/>
      <c r="F356" s="202"/>
      <c r="G356" s="202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  <c r="R356" s="177"/>
      <c r="S356" s="177"/>
      <c r="T356" s="177"/>
      <c r="U356" s="177"/>
      <c r="V356" s="177"/>
      <c r="W356" s="177"/>
      <c r="X356" s="177"/>
      <c r="Y356" s="177"/>
      <c r="Z356" s="177"/>
      <c r="AA356" s="177"/>
      <c r="AB356" s="177"/>
      <c r="AC356" s="177"/>
      <c r="AD356" s="177"/>
      <c r="AE356" s="177"/>
    </row>
    <row r="357" spans="1:31" ht="13.5" thickBot="1">
      <c r="A357" s="202"/>
      <c r="B357" s="202"/>
      <c r="C357" s="202"/>
      <c r="D357" s="202"/>
      <c r="E357" s="202"/>
      <c r="F357" s="202"/>
      <c r="G357" s="202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  <c r="R357" s="177"/>
      <c r="S357" s="177"/>
      <c r="T357" s="177"/>
      <c r="U357" s="177"/>
      <c r="V357" s="177"/>
      <c r="W357" s="177"/>
      <c r="X357" s="177"/>
      <c r="Y357" s="177"/>
      <c r="Z357" s="177"/>
      <c r="AA357" s="177"/>
      <c r="AB357" s="177"/>
      <c r="AC357" s="177"/>
      <c r="AD357" s="177"/>
      <c r="AE357" s="177"/>
    </row>
    <row r="358" spans="1:31" ht="13.5" thickBot="1">
      <c r="A358" s="202"/>
      <c r="B358" s="202"/>
      <c r="C358" s="202"/>
      <c r="D358" s="202"/>
      <c r="E358" s="202"/>
      <c r="F358" s="202"/>
      <c r="G358" s="202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  <c r="R358" s="177"/>
      <c r="S358" s="177"/>
      <c r="T358" s="177"/>
      <c r="U358" s="177"/>
      <c r="V358" s="177"/>
      <c r="W358" s="177"/>
      <c r="X358" s="177"/>
      <c r="Y358" s="177"/>
      <c r="Z358" s="177"/>
      <c r="AA358" s="177"/>
      <c r="AB358" s="177"/>
      <c r="AC358" s="177"/>
      <c r="AD358" s="177"/>
      <c r="AE358" s="177"/>
    </row>
    <row r="359" spans="1:31" ht="13.5" thickBot="1">
      <c r="A359" s="202"/>
      <c r="B359" s="202"/>
      <c r="C359" s="202"/>
      <c r="D359" s="202"/>
      <c r="E359" s="202"/>
      <c r="F359" s="202"/>
      <c r="G359" s="202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  <c r="R359" s="177"/>
      <c r="S359" s="177"/>
      <c r="T359" s="177"/>
      <c r="U359" s="177"/>
      <c r="V359" s="177"/>
      <c r="W359" s="177"/>
      <c r="X359" s="177"/>
      <c r="Y359" s="177"/>
      <c r="Z359" s="177"/>
      <c r="AA359" s="177"/>
      <c r="AB359" s="177"/>
      <c r="AC359" s="177"/>
      <c r="AD359" s="177"/>
      <c r="AE359" s="177"/>
    </row>
    <row r="360" spans="1:31" ht="13.5" thickBot="1">
      <c r="A360" s="202"/>
      <c r="B360" s="202"/>
      <c r="C360" s="202"/>
      <c r="D360" s="202"/>
      <c r="E360" s="202"/>
      <c r="F360" s="202"/>
      <c r="G360" s="202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  <c r="R360" s="177"/>
      <c r="S360" s="177"/>
      <c r="T360" s="177"/>
      <c r="U360" s="177"/>
      <c r="V360" s="177"/>
      <c r="W360" s="177"/>
      <c r="X360" s="177"/>
      <c r="Y360" s="177"/>
      <c r="Z360" s="177"/>
      <c r="AA360" s="177"/>
      <c r="AB360" s="177"/>
      <c r="AC360" s="177"/>
      <c r="AD360" s="177"/>
      <c r="AE360" s="177"/>
    </row>
    <row r="361" spans="1:31" ht="13.5" thickBot="1">
      <c r="A361" s="202"/>
      <c r="B361" s="202"/>
      <c r="C361" s="202"/>
      <c r="D361" s="202"/>
      <c r="E361" s="202"/>
      <c r="F361" s="202"/>
      <c r="G361" s="202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  <c r="R361" s="177"/>
      <c r="S361" s="177"/>
      <c r="T361" s="177"/>
      <c r="U361" s="177"/>
      <c r="V361" s="177"/>
      <c r="W361" s="177"/>
      <c r="X361" s="177"/>
      <c r="Y361" s="177"/>
      <c r="Z361" s="177"/>
      <c r="AA361" s="177"/>
      <c r="AB361" s="177"/>
      <c r="AC361" s="177"/>
      <c r="AD361" s="177"/>
      <c r="AE361" s="177"/>
    </row>
    <row r="362" spans="1:31" ht="13.5" thickBot="1">
      <c r="A362" s="202"/>
      <c r="B362" s="202"/>
      <c r="C362" s="202"/>
      <c r="D362" s="202"/>
      <c r="E362" s="202"/>
      <c r="F362" s="202"/>
      <c r="G362" s="202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  <c r="R362" s="177"/>
      <c r="S362" s="177"/>
      <c r="T362" s="177"/>
      <c r="U362" s="177"/>
      <c r="V362" s="177"/>
      <c r="W362" s="177"/>
      <c r="X362" s="177"/>
      <c r="Y362" s="177"/>
      <c r="Z362" s="177"/>
      <c r="AA362" s="177"/>
      <c r="AB362" s="177"/>
      <c r="AC362" s="177"/>
      <c r="AD362" s="177"/>
      <c r="AE362" s="177"/>
    </row>
    <row r="363" spans="1:31" ht="13.5" thickBot="1">
      <c r="A363" s="202"/>
      <c r="B363" s="202"/>
      <c r="C363" s="202"/>
      <c r="D363" s="202"/>
      <c r="E363" s="202"/>
      <c r="F363" s="202"/>
      <c r="G363" s="202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  <c r="R363" s="177"/>
      <c r="S363" s="177"/>
      <c r="T363" s="177"/>
      <c r="U363" s="177"/>
      <c r="V363" s="177"/>
      <c r="W363" s="177"/>
      <c r="X363" s="177"/>
      <c r="Y363" s="177"/>
      <c r="Z363" s="177"/>
      <c r="AA363" s="177"/>
      <c r="AB363" s="177"/>
      <c r="AC363" s="177"/>
      <c r="AD363" s="177"/>
      <c r="AE363" s="177"/>
    </row>
    <row r="364" spans="1:31" ht="13.5" thickBot="1">
      <c r="A364" s="202"/>
      <c r="B364" s="202"/>
      <c r="C364" s="202"/>
      <c r="D364" s="202"/>
      <c r="E364" s="202"/>
      <c r="F364" s="202"/>
      <c r="G364" s="202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  <c r="R364" s="177"/>
      <c r="S364" s="177"/>
      <c r="T364" s="177"/>
      <c r="U364" s="177"/>
      <c r="V364" s="177"/>
      <c r="W364" s="177"/>
      <c r="X364" s="177"/>
      <c r="Y364" s="177"/>
      <c r="Z364" s="177"/>
      <c r="AA364" s="177"/>
      <c r="AB364" s="177"/>
      <c r="AC364" s="177"/>
      <c r="AD364" s="177"/>
      <c r="AE364" s="177"/>
    </row>
    <row r="365" spans="1:31" ht="13.5" thickBot="1">
      <c r="A365" s="202"/>
      <c r="B365" s="202"/>
      <c r="C365" s="202"/>
      <c r="D365" s="202"/>
      <c r="E365" s="202"/>
      <c r="F365" s="202"/>
      <c r="G365" s="202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  <c r="R365" s="177"/>
      <c r="S365" s="177"/>
      <c r="T365" s="177"/>
      <c r="U365" s="177"/>
      <c r="V365" s="177"/>
      <c r="W365" s="177"/>
      <c r="X365" s="177"/>
      <c r="Y365" s="177"/>
      <c r="Z365" s="177"/>
      <c r="AA365" s="177"/>
      <c r="AB365" s="177"/>
      <c r="AC365" s="177"/>
      <c r="AD365" s="177"/>
      <c r="AE365" s="177"/>
    </row>
    <row r="366" spans="1:31" ht="13.5" thickBot="1">
      <c r="A366" s="202"/>
      <c r="B366" s="202"/>
      <c r="C366" s="202"/>
      <c r="D366" s="202"/>
      <c r="E366" s="202"/>
      <c r="F366" s="202"/>
      <c r="G366" s="202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  <c r="R366" s="177"/>
      <c r="S366" s="177"/>
      <c r="T366" s="177"/>
      <c r="U366" s="177"/>
      <c r="V366" s="177"/>
      <c r="W366" s="177"/>
      <c r="X366" s="177"/>
      <c r="Y366" s="177"/>
      <c r="Z366" s="177"/>
      <c r="AA366" s="177"/>
      <c r="AB366" s="177"/>
      <c r="AC366" s="177"/>
      <c r="AD366" s="177"/>
      <c r="AE366" s="177"/>
    </row>
    <row r="367" spans="1:31" ht="13.5" thickBot="1">
      <c r="A367" s="202"/>
      <c r="B367" s="202"/>
      <c r="C367" s="202"/>
      <c r="D367" s="202"/>
      <c r="E367" s="202"/>
      <c r="F367" s="202"/>
      <c r="G367" s="202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  <c r="R367" s="177"/>
      <c r="S367" s="177"/>
      <c r="T367" s="177"/>
      <c r="U367" s="177"/>
      <c r="V367" s="177"/>
      <c r="W367" s="177"/>
      <c r="X367" s="177"/>
      <c r="Y367" s="177"/>
      <c r="Z367" s="177"/>
      <c r="AA367" s="177"/>
      <c r="AB367" s="177"/>
      <c r="AC367" s="177"/>
      <c r="AD367" s="177"/>
      <c r="AE367" s="177"/>
    </row>
    <row r="368" spans="1:31" ht="13.5" thickBot="1">
      <c r="A368" s="202"/>
      <c r="B368" s="202"/>
      <c r="C368" s="202"/>
      <c r="D368" s="202"/>
      <c r="E368" s="202"/>
      <c r="F368" s="202"/>
      <c r="G368" s="202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  <c r="R368" s="177"/>
      <c r="S368" s="177"/>
      <c r="T368" s="177"/>
      <c r="U368" s="177"/>
      <c r="V368" s="177"/>
      <c r="W368" s="177"/>
      <c r="X368" s="177"/>
      <c r="Y368" s="177"/>
      <c r="Z368" s="177"/>
      <c r="AA368" s="177"/>
      <c r="AB368" s="177"/>
      <c r="AC368" s="177"/>
      <c r="AD368" s="177"/>
      <c r="AE368" s="177"/>
    </row>
    <row r="369" spans="1:31" ht="13.5" thickBot="1">
      <c r="A369" s="202"/>
      <c r="B369" s="202"/>
      <c r="C369" s="202"/>
      <c r="D369" s="202"/>
      <c r="E369" s="202"/>
      <c r="F369" s="202"/>
      <c r="G369" s="202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  <c r="R369" s="177"/>
      <c r="S369" s="177"/>
      <c r="T369" s="177"/>
      <c r="U369" s="177"/>
      <c r="V369" s="177"/>
      <c r="W369" s="177"/>
      <c r="X369" s="177"/>
      <c r="Y369" s="177"/>
      <c r="Z369" s="177"/>
      <c r="AA369" s="177"/>
      <c r="AB369" s="177"/>
      <c r="AC369" s="177"/>
      <c r="AD369" s="177"/>
      <c r="AE369" s="177"/>
    </row>
    <row r="370" spans="1:31" ht="13.5" thickBot="1">
      <c r="A370" s="202"/>
      <c r="B370" s="202"/>
      <c r="C370" s="202"/>
      <c r="D370" s="202"/>
      <c r="E370" s="202"/>
      <c r="F370" s="202"/>
      <c r="G370" s="202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  <c r="R370" s="177"/>
      <c r="S370" s="177"/>
      <c r="T370" s="177"/>
      <c r="U370" s="177"/>
      <c r="V370" s="177"/>
      <c r="W370" s="177"/>
      <c r="X370" s="177"/>
      <c r="Y370" s="177"/>
      <c r="Z370" s="177"/>
      <c r="AA370" s="177"/>
      <c r="AB370" s="177"/>
      <c r="AC370" s="177"/>
      <c r="AD370" s="177"/>
      <c r="AE370" s="177"/>
    </row>
    <row r="371" spans="1:31" ht="13.5" thickBot="1">
      <c r="A371" s="202"/>
      <c r="B371" s="202"/>
      <c r="C371" s="202"/>
      <c r="D371" s="202"/>
      <c r="E371" s="202"/>
      <c r="F371" s="202"/>
      <c r="G371" s="202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  <c r="R371" s="177"/>
      <c r="S371" s="177"/>
      <c r="T371" s="177"/>
      <c r="U371" s="177"/>
      <c r="V371" s="177"/>
      <c r="W371" s="177"/>
      <c r="X371" s="177"/>
      <c r="Y371" s="177"/>
      <c r="Z371" s="177"/>
      <c r="AA371" s="177"/>
      <c r="AB371" s="177"/>
      <c r="AC371" s="177"/>
      <c r="AD371" s="177"/>
      <c r="AE371" s="177"/>
    </row>
    <row r="372" spans="1:31" ht="13.5" thickBot="1">
      <c r="A372" s="202"/>
      <c r="B372" s="202"/>
      <c r="C372" s="202"/>
      <c r="D372" s="202"/>
      <c r="E372" s="202"/>
      <c r="F372" s="202"/>
      <c r="G372" s="202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  <c r="R372" s="177"/>
      <c r="S372" s="177"/>
      <c r="T372" s="177"/>
      <c r="U372" s="177"/>
      <c r="V372" s="177"/>
      <c r="W372" s="177"/>
      <c r="X372" s="177"/>
      <c r="Y372" s="177"/>
      <c r="Z372" s="177"/>
      <c r="AA372" s="177"/>
      <c r="AB372" s="177"/>
      <c r="AC372" s="177"/>
      <c r="AD372" s="177"/>
      <c r="AE372" s="177"/>
    </row>
    <row r="373" spans="1:31" ht="13.5" thickBot="1">
      <c r="A373" s="202"/>
      <c r="B373" s="202"/>
      <c r="C373" s="202"/>
      <c r="D373" s="202"/>
      <c r="E373" s="202"/>
      <c r="F373" s="202"/>
      <c r="G373" s="202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  <c r="R373" s="177"/>
      <c r="S373" s="177"/>
      <c r="T373" s="177"/>
      <c r="U373" s="177"/>
      <c r="V373" s="177"/>
      <c r="W373" s="177"/>
      <c r="X373" s="177"/>
      <c r="Y373" s="177"/>
      <c r="Z373" s="177"/>
      <c r="AA373" s="177"/>
      <c r="AB373" s="177"/>
      <c r="AC373" s="177"/>
      <c r="AD373" s="177"/>
      <c r="AE373" s="177"/>
    </row>
    <row r="374" spans="1:31" ht="13.5" thickBot="1">
      <c r="A374" s="202"/>
      <c r="B374" s="202"/>
      <c r="C374" s="202"/>
      <c r="D374" s="202"/>
      <c r="E374" s="202"/>
      <c r="F374" s="202"/>
      <c r="G374" s="202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  <c r="R374" s="177"/>
      <c r="S374" s="177"/>
      <c r="T374" s="177"/>
      <c r="U374" s="177"/>
      <c r="V374" s="177"/>
      <c r="W374" s="177"/>
      <c r="X374" s="177"/>
      <c r="Y374" s="177"/>
      <c r="Z374" s="177"/>
      <c r="AA374" s="177"/>
      <c r="AB374" s="177"/>
      <c r="AC374" s="177"/>
      <c r="AD374" s="177"/>
      <c r="AE374" s="177"/>
    </row>
    <row r="375" spans="1:31" ht="13.5" thickBot="1">
      <c r="A375" s="202"/>
      <c r="B375" s="202"/>
      <c r="C375" s="202"/>
      <c r="D375" s="202"/>
      <c r="E375" s="202"/>
      <c r="F375" s="202"/>
      <c r="G375" s="202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  <c r="R375" s="177"/>
      <c r="S375" s="177"/>
      <c r="T375" s="177"/>
      <c r="U375" s="177"/>
      <c r="V375" s="177"/>
      <c r="W375" s="177"/>
      <c r="X375" s="177"/>
      <c r="Y375" s="177"/>
      <c r="Z375" s="177"/>
      <c r="AA375" s="177"/>
      <c r="AB375" s="177"/>
      <c r="AC375" s="177"/>
      <c r="AD375" s="177"/>
      <c r="AE375" s="177"/>
    </row>
    <row r="376" spans="1:31" ht="13.5" thickBot="1">
      <c r="A376" s="202"/>
      <c r="B376" s="202"/>
      <c r="C376" s="202"/>
      <c r="D376" s="202"/>
      <c r="E376" s="202"/>
      <c r="F376" s="202"/>
      <c r="G376" s="202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  <c r="R376" s="177"/>
      <c r="S376" s="177"/>
      <c r="T376" s="177"/>
      <c r="U376" s="177"/>
      <c r="V376" s="177"/>
      <c r="W376" s="177"/>
      <c r="X376" s="177"/>
      <c r="Y376" s="177"/>
      <c r="Z376" s="177"/>
      <c r="AA376" s="177"/>
      <c r="AB376" s="177"/>
      <c r="AC376" s="177"/>
      <c r="AD376" s="177"/>
      <c r="AE376" s="177"/>
    </row>
    <row r="377" spans="1:31" ht="13.5" thickBot="1">
      <c r="A377" s="202"/>
      <c r="B377" s="202"/>
      <c r="C377" s="202"/>
      <c r="D377" s="202"/>
      <c r="E377" s="202"/>
      <c r="F377" s="202"/>
      <c r="G377" s="202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  <c r="R377" s="177"/>
      <c r="S377" s="177"/>
      <c r="T377" s="177"/>
      <c r="U377" s="177"/>
      <c r="V377" s="177"/>
      <c r="W377" s="177"/>
      <c r="X377" s="177"/>
      <c r="Y377" s="177"/>
      <c r="Z377" s="177"/>
      <c r="AA377" s="177"/>
      <c r="AB377" s="177"/>
      <c r="AC377" s="177"/>
      <c r="AD377" s="177"/>
      <c r="AE377" s="177"/>
    </row>
    <row r="378" spans="1:31" ht="13.5" thickBot="1">
      <c r="A378" s="202"/>
      <c r="B378" s="202"/>
      <c r="C378" s="202"/>
      <c r="D378" s="202"/>
      <c r="E378" s="202"/>
      <c r="F378" s="202"/>
      <c r="G378" s="202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  <c r="R378" s="177"/>
      <c r="S378" s="177"/>
      <c r="T378" s="177"/>
      <c r="U378" s="177"/>
      <c r="V378" s="177"/>
      <c r="W378" s="177"/>
      <c r="X378" s="177"/>
      <c r="Y378" s="177"/>
      <c r="Z378" s="177"/>
      <c r="AA378" s="177"/>
      <c r="AB378" s="177"/>
      <c r="AC378" s="177"/>
      <c r="AD378" s="177"/>
      <c r="AE378" s="177"/>
    </row>
    <row r="379" spans="1:31" ht="13.5" thickBot="1">
      <c r="A379" s="202"/>
      <c r="B379" s="202"/>
      <c r="C379" s="202"/>
      <c r="D379" s="202"/>
      <c r="E379" s="202"/>
      <c r="F379" s="202"/>
      <c r="G379" s="202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  <c r="R379" s="177"/>
      <c r="S379" s="177"/>
      <c r="T379" s="177"/>
      <c r="U379" s="177"/>
      <c r="V379" s="177"/>
      <c r="W379" s="177"/>
      <c r="X379" s="177"/>
      <c r="Y379" s="177"/>
      <c r="Z379" s="177"/>
      <c r="AA379" s="177"/>
      <c r="AB379" s="177"/>
      <c r="AC379" s="177"/>
      <c r="AD379" s="177"/>
      <c r="AE379" s="177"/>
    </row>
    <row r="380" spans="1:31" ht="13.5" thickBot="1">
      <c r="A380" s="202"/>
      <c r="B380" s="202"/>
      <c r="C380" s="202"/>
      <c r="D380" s="202"/>
      <c r="E380" s="202"/>
      <c r="F380" s="202"/>
      <c r="G380" s="202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  <c r="R380" s="177"/>
      <c r="S380" s="177"/>
      <c r="T380" s="177"/>
      <c r="U380" s="177"/>
      <c r="V380" s="177"/>
      <c r="W380" s="177"/>
      <c r="X380" s="177"/>
      <c r="Y380" s="177"/>
      <c r="Z380" s="177"/>
      <c r="AA380" s="177"/>
      <c r="AB380" s="177"/>
      <c r="AC380" s="177"/>
      <c r="AD380" s="177"/>
      <c r="AE380" s="177"/>
    </row>
    <row r="381" spans="1:31" ht="13.5" thickBot="1">
      <c r="A381" s="202"/>
      <c r="B381" s="202"/>
      <c r="C381" s="202"/>
      <c r="D381" s="202"/>
      <c r="E381" s="202"/>
      <c r="F381" s="202"/>
      <c r="G381" s="202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  <c r="R381" s="177"/>
      <c r="S381" s="177"/>
      <c r="T381" s="177"/>
      <c r="U381" s="177"/>
      <c r="V381" s="177"/>
      <c r="W381" s="177"/>
      <c r="X381" s="177"/>
      <c r="Y381" s="177"/>
      <c r="Z381" s="177"/>
      <c r="AA381" s="177"/>
      <c r="AB381" s="177"/>
      <c r="AC381" s="177"/>
      <c r="AD381" s="177"/>
      <c r="AE381" s="177"/>
    </row>
    <row r="382" spans="1:31" ht="13.5" thickBot="1">
      <c r="A382" s="202"/>
      <c r="B382" s="202"/>
      <c r="C382" s="202"/>
      <c r="D382" s="202"/>
      <c r="E382" s="202"/>
      <c r="F382" s="202"/>
      <c r="G382" s="202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  <c r="R382" s="177"/>
      <c r="S382" s="177"/>
      <c r="T382" s="177"/>
      <c r="U382" s="177"/>
      <c r="V382" s="177"/>
      <c r="W382" s="177"/>
      <c r="X382" s="177"/>
      <c r="Y382" s="177"/>
      <c r="Z382" s="177"/>
      <c r="AA382" s="177"/>
      <c r="AB382" s="177"/>
      <c r="AC382" s="177"/>
      <c r="AD382" s="177"/>
      <c r="AE382" s="177"/>
    </row>
    <row r="383" spans="1:31" ht="13.5" thickBot="1">
      <c r="A383" s="202"/>
      <c r="B383" s="202"/>
      <c r="C383" s="202"/>
      <c r="D383" s="202"/>
      <c r="E383" s="202"/>
      <c r="F383" s="202"/>
      <c r="G383" s="202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  <c r="R383" s="177"/>
      <c r="S383" s="177"/>
      <c r="T383" s="177"/>
      <c r="U383" s="177"/>
      <c r="V383" s="177"/>
      <c r="W383" s="177"/>
      <c r="X383" s="177"/>
      <c r="Y383" s="177"/>
      <c r="Z383" s="177"/>
      <c r="AA383" s="177"/>
      <c r="AB383" s="177"/>
      <c r="AC383" s="177"/>
      <c r="AD383" s="177"/>
      <c r="AE383" s="177"/>
    </row>
    <row r="384" spans="1:31" ht="13.5" thickBot="1">
      <c r="A384" s="202"/>
      <c r="B384" s="202"/>
      <c r="C384" s="202"/>
      <c r="D384" s="202"/>
      <c r="E384" s="202"/>
      <c r="F384" s="202"/>
      <c r="G384" s="202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  <c r="R384" s="177"/>
      <c r="S384" s="177"/>
      <c r="T384" s="177"/>
      <c r="U384" s="177"/>
      <c r="V384" s="177"/>
      <c r="W384" s="177"/>
      <c r="X384" s="177"/>
      <c r="Y384" s="177"/>
      <c r="Z384" s="177"/>
      <c r="AA384" s="177"/>
      <c r="AB384" s="177"/>
      <c r="AC384" s="177"/>
      <c r="AD384" s="177"/>
      <c r="AE384" s="177"/>
    </row>
    <row r="385" spans="1:31" ht="13.5" thickBot="1">
      <c r="A385" s="202"/>
      <c r="B385" s="202"/>
      <c r="C385" s="202"/>
      <c r="D385" s="202"/>
      <c r="E385" s="202"/>
      <c r="F385" s="202"/>
      <c r="G385" s="202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</row>
    <row r="386" spans="1:31" ht="13.5" thickBot="1">
      <c r="A386" s="202"/>
      <c r="B386" s="202"/>
      <c r="C386" s="202"/>
      <c r="D386" s="202"/>
      <c r="E386" s="202"/>
      <c r="F386" s="202"/>
      <c r="G386" s="202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  <c r="R386" s="177"/>
      <c r="S386" s="177"/>
      <c r="T386" s="177"/>
      <c r="U386" s="177"/>
      <c r="V386" s="177"/>
      <c r="W386" s="177"/>
      <c r="X386" s="177"/>
      <c r="Y386" s="177"/>
      <c r="Z386" s="177"/>
      <c r="AA386" s="177"/>
      <c r="AB386" s="177"/>
      <c r="AC386" s="177"/>
      <c r="AD386" s="177"/>
      <c r="AE386" s="177"/>
    </row>
    <row r="387" spans="1:31" ht="13.5" thickBot="1">
      <c r="A387" s="202"/>
      <c r="B387" s="202"/>
      <c r="C387" s="202"/>
      <c r="D387" s="202"/>
      <c r="E387" s="202"/>
      <c r="F387" s="202"/>
      <c r="G387" s="202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  <c r="R387" s="177"/>
      <c r="S387" s="177"/>
      <c r="T387" s="177"/>
      <c r="U387" s="177"/>
      <c r="V387" s="177"/>
      <c r="W387" s="177"/>
      <c r="X387" s="177"/>
      <c r="Y387" s="177"/>
      <c r="Z387" s="177"/>
      <c r="AA387" s="177"/>
      <c r="AB387" s="177"/>
      <c r="AC387" s="177"/>
      <c r="AD387" s="177"/>
      <c r="AE387" s="177"/>
    </row>
    <row r="388" spans="1:31" ht="13.5" thickBot="1">
      <c r="A388" s="202"/>
      <c r="B388" s="202"/>
      <c r="C388" s="202"/>
      <c r="D388" s="202"/>
      <c r="E388" s="202"/>
      <c r="F388" s="202"/>
      <c r="G388" s="202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  <c r="R388" s="177"/>
      <c r="S388" s="177"/>
      <c r="T388" s="177"/>
      <c r="U388" s="177"/>
      <c r="V388" s="177"/>
      <c r="W388" s="177"/>
      <c r="X388" s="177"/>
      <c r="Y388" s="177"/>
      <c r="Z388" s="177"/>
      <c r="AA388" s="177"/>
      <c r="AB388" s="177"/>
      <c r="AC388" s="177"/>
      <c r="AD388" s="177"/>
      <c r="AE388" s="177"/>
    </row>
    <row r="389" spans="1:31" ht="13.5" thickBot="1">
      <c r="A389" s="202"/>
      <c r="B389" s="202"/>
      <c r="C389" s="202"/>
      <c r="D389" s="202"/>
      <c r="E389" s="202"/>
      <c r="F389" s="202"/>
      <c r="G389" s="202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</row>
    <row r="390" spans="1:31" ht="13.5" thickBot="1">
      <c r="A390" s="202"/>
      <c r="B390" s="202"/>
      <c r="C390" s="202"/>
      <c r="D390" s="202"/>
      <c r="E390" s="202"/>
      <c r="F390" s="202"/>
      <c r="G390" s="202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  <c r="R390" s="177"/>
      <c r="S390" s="177"/>
      <c r="T390" s="177"/>
      <c r="U390" s="177"/>
      <c r="V390" s="177"/>
      <c r="W390" s="177"/>
      <c r="X390" s="177"/>
      <c r="Y390" s="177"/>
      <c r="Z390" s="177"/>
      <c r="AA390" s="177"/>
      <c r="AB390" s="177"/>
      <c r="AC390" s="177"/>
      <c r="AD390" s="177"/>
      <c r="AE390" s="177"/>
    </row>
    <row r="391" spans="1:31" ht="13.5" thickBot="1">
      <c r="A391" s="202"/>
      <c r="B391" s="202"/>
      <c r="C391" s="202"/>
      <c r="D391" s="202"/>
      <c r="E391" s="202"/>
      <c r="F391" s="202"/>
      <c r="G391" s="202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  <c r="R391" s="177"/>
      <c r="S391" s="177"/>
      <c r="T391" s="177"/>
      <c r="U391" s="177"/>
      <c r="V391" s="177"/>
      <c r="W391" s="177"/>
      <c r="X391" s="177"/>
      <c r="Y391" s="177"/>
      <c r="Z391" s="177"/>
      <c r="AA391" s="177"/>
      <c r="AB391" s="177"/>
      <c r="AC391" s="177"/>
      <c r="AD391" s="177"/>
      <c r="AE391" s="177"/>
    </row>
    <row r="392" spans="1:31" ht="13.5" thickBot="1">
      <c r="A392" s="202"/>
      <c r="B392" s="202"/>
      <c r="C392" s="202"/>
      <c r="D392" s="202"/>
      <c r="E392" s="202"/>
      <c r="F392" s="202"/>
      <c r="G392" s="202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  <c r="R392" s="177"/>
      <c r="S392" s="177"/>
      <c r="T392" s="177"/>
      <c r="U392" s="177"/>
      <c r="V392" s="177"/>
      <c r="W392" s="177"/>
      <c r="X392" s="177"/>
      <c r="Y392" s="177"/>
      <c r="Z392" s="177"/>
      <c r="AA392" s="177"/>
      <c r="AB392" s="177"/>
      <c r="AC392" s="177"/>
      <c r="AD392" s="177"/>
      <c r="AE392" s="177"/>
    </row>
    <row r="393" spans="1:31" ht="13.5" thickBot="1">
      <c r="A393" s="202"/>
      <c r="B393" s="202"/>
      <c r="C393" s="202"/>
      <c r="D393" s="202"/>
      <c r="E393" s="202"/>
      <c r="F393" s="202"/>
      <c r="G393" s="202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  <c r="R393" s="177"/>
      <c r="S393" s="177"/>
      <c r="T393" s="177"/>
      <c r="U393" s="177"/>
      <c r="V393" s="177"/>
      <c r="W393" s="177"/>
      <c r="X393" s="177"/>
      <c r="Y393" s="177"/>
      <c r="Z393" s="177"/>
      <c r="AA393" s="177"/>
      <c r="AB393" s="177"/>
      <c r="AC393" s="177"/>
      <c r="AD393" s="177"/>
      <c r="AE393" s="177"/>
    </row>
    <row r="394" spans="1:31" ht="13.5" thickBot="1">
      <c r="A394" s="202"/>
      <c r="B394" s="202"/>
      <c r="C394" s="202"/>
      <c r="D394" s="202"/>
      <c r="E394" s="202"/>
      <c r="F394" s="202"/>
      <c r="G394" s="202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  <c r="R394" s="177"/>
      <c r="S394" s="177"/>
      <c r="T394" s="177"/>
      <c r="U394" s="177"/>
      <c r="V394" s="177"/>
      <c r="W394" s="177"/>
      <c r="X394" s="177"/>
      <c r="Y394" s="177"/>
      <c r="Z394" s="177"/>
      <c r="AA394" s="177"/>
      <c r="AB394" s="177"/>
      <c r="AC394" s="177"/>
      <c r="AD394" s="177"/>
      <c r="AE394" s="177"/>
    </row>
    <row r="395" spans="1:31" ht="13.5" thickBot="1">
      <c r="A395" s="202"/>
      <c r="B395" s="202"/>
      <c r="C395" s="202"/>
      <c r="D395" s="202"/>
      <c r="E395" s="202"/>
      <c r="F395" s="202"/>
      <c r="G395" s="202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  <c r="R395" s="177"/>
      <c r="S395" s="177"/>
      <c r="T395" s="177"/>
      <c r="U395" s="177"/>
      <c r="V395" s="177"/>
      <c r="W395" s="177"/>
      <c r="X395" s="177"/>
      <c r="Y395" s="177"/>
      <c r="Z395" s="177"/>
      <c r="AA395" s="177"/>
      <c r="AB395" s="177"/>
      <c r="AC395" s="177"/>
      <c r="AD395" s="177"/>
      <c r="AE395" s="177"/>
    </row>
    <row r="396" spans="1:31" ht="13.5" thickBot="1">
      <c r="A396" s="202"/>
      <c r="B396" s="202"/>
      <c r="C396" s="202"/>
      <c r="D396" s="202"/>
      <c r="E396" s="202"/>
      <c r="F396" s="202"/>
      <c r="G396" s="202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  <c r="R396" s="177"/>
      <c r="S396" s="177"/>
      <c r="T396" s="177"/>
      <c r="U396" s="177"/>
      <c r="V396" s="177"/>
      <c r="W396" s="177"/>
      <c r="X396" s="177"/>
      <c r="Y396" s="177"/>
      <c r="Z396" s="177"/>
      <c r="AA396" s="177"/>
      <c r="AB396" s="177"/>
      <c r="AC396" s="177"/>
      <c r="AD396" s="177"/>
      <c r="AE396" s="177"/>
    </row>
    <row r="397" spans="1:31" ht="13.5" thickBot="1">
      <c r="A397" s="202"/>
      <c r="B397" s="202"/>
      <c r="C397" s="202"/>
      <c r="D397" s="202"/>
      <c r="E397" s="202"/>
      <c r="F397" s="202"/>
      <c r="G397" s="202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  <c r="R397" s="177"/>
      <c r="S397" s="177"/>
      <c r="T397" s="177"/>
      <c r="U397" s="177"/>
      <c r="V397" s="177"/>
      <c r="W397" s="177"/>
      <c r="X397" s="177"/>
      <c r="Y397" s="177"/>
      <c r="Z397" s="177"/>
      <c r="AA397" s="177"/>
      <c r="AB397" s="177"/>
      <c r="AC397" s="177"/>
      <c r="AD397" s="177"/>
      <c r="AE397" s="177"/>
    </row>
    <row r="398" spans="1:31" ht="13.5" thickBot="1">
      <c r="A398" s="202"/>
      <c r="B398" s="202"/>
      <c r="C398" s="202"/>
      <c r="D398" s="202"/>
      <c r="E398" s="202"/>
      <c r="F398" s="202"/>
      <c r="G398" s="202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  <c r="R398" s="177"/>
      <c r="S398" s="177"/>
      <c r="T398" s="177"/>
      <c r="U398" s="177"/>
      <c r="V398" s="177"/>
      <c r="W398" s="177"/>
      <c r="X398" s="177"/>
      <c r="Y398" s="177"/>
      <c r="Z398" s="177"/>
      <c r="AA398" s="177"/>
      <c r="AB398" s="177"/>
      <c r="AC398" s="177"/>
      <c r="AD398" s="177"/>
      <c r="AE398" s="177"/>
    </row>
    <row r="399" spans="1:31" ht="13.5" thickBot="1">
      <c r="A399" s="202"/>
      <c r="B399" s="202"/>
      <c r="C399" s="202"/>
      <c r="D399" s="202"/>
      <c r="E399" s="202"/>
      <c r="F399" s="202"/>
      <c r="G399" s="202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  <c r="R399" s="177"/>
      <c r="S399" s="177"/>
      <c r="T399" s="177"/>
      <c r="U399" s="177"/>
      <c r="V399" s="177"/>
      <c r="W399" s="177"/>
      <c r="X399" s="177"/>
      <c r="Y399" s="177"/>
      <c r="Z399" s="177"/>
      <c r="AA399" s="177"/>
      <c r="AB399" s="177"/>
      <c r="AC399" s="177"/>
      <c r="AD399" s="177"/>
      <c r="AE399" s="177"/>
    </row>
    <row r="400" spans="1:31" ht="13.5" thickBot="1">
      <c r="A400" s="202"/>
      <c r="B400" s="202"/>
      <c r="C400" s="202"/>
      <c r="D400" s="202"/>
      <c r="E400" s="202"/>
      <c r="F400" s="202"/>
      <c r="G400" s="202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  <c r="R400" s="177"/>
      <c r="S400" s="177"/>
      <c r="T400" s="177"/>
      <c r="U400" s="177"/>
      <c r="V400" s="177"/>
      <c r="W400" s="177"/>
      <c r="X400" s="177"/>
      <c r="Y400" s="177"/>
      <c r="Z400" s="177"/>
      <c r="AA400" s="177"/>
      <c r="AB400" s="177"/>
      <c r="AC400" s="177"/>
      <c r="AD400" s="177"/>
      <c r="AE400" s="177"/>
    </row>
    <row r="401" spans="1:31" ht="13.5" thickBot="1">
      <c r="A401" s="202"/>
      <c r="B401" s="202"/>
      <c r="C401" s="202"/>
      <c r="D401" s="202"/>
      <c r="E401" s="202"/>
      <c r="F401" s="202"/>
      <c r="G401" s="202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  <c r="R401" s="177"/>
      <c r="S401" s="177"/>
      <c r="T401" s="177"/>
      <c r="U401" s="177"/>
      <c r="V401" s="177"/>
      <c r="W401" s="177"/>
      <c r="X401" s="177"/>
      <c r="Y401" s="177"/>
      <c r="Z401" s="177"/>
      <c r="AA401" s="177"/>
      <c r="AB401" s="177"/>
      <c r="AC401" s="177"/>
      <c r="AD401" s="177"/>
      <c r="AE401" s="177"/>
    </row>
    <row r="402" spans="1:31" ht="13.5" thickBot="1">
      <c r="A402" s="202"/>
      <c r="B402" s="202"/>
      <c r="C402" s="202"/>
      <c r="D402" s="202"/>
      <c r="E402" s="202"/>
      <c r="F402" s="202"/>
      <c r="G402" s="202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  <c r="R402" s="177"/>
      <c r="S402" s="177"/>
      <c r="T402" s="177"/>
      <c r="U402" s="177"/>
      <c r="V402" s="177"/>
      <c r="W402" s="177"/>
      <c r="X402" s="177"/>
      <c r="Y402" s="177"/>
      <c r="Z402" s="177"/>
      <c r="AA402" s="177"/>
      <c r="AB402" s="177"/>
      <c r="AC402" s="177"/>
      <c r="AD402" s="177"/>
      <c r="AE402" s="177"/>
    </row>
    <row r="403" spans="1:31" ht="13.5" thickBot="1">
      <c r="A403" s="202"/>
      <c r="B403" s="202"/>
      <c r="C403" s="202"/>
      <c r="D403" s="202"/>
      <c r="E403" s="202"/>
      <c r="F403" s="202"/>
      <c r="G403" s="202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  <c r="R403" s="177"/>
      <c r="S403" s="177"/>
      <c r="T403" s="177"/>
      <c r="U403" s="177"/>
      <c r="V403" s="177"/>
      <c r="W403" s="177"/>
      <c r="X403" s="177"/>
      <c r="Y403" s="177"/>
      <c r="Z403" s="177"/>
      <c r="AA403" s="177"/>
      <c r="AB403" s="177"/>
      <c r="AC403" s="177"/>
      <c r="AD403" s="177"/>
      <c r="AE403" s="177"/>
    </row>
    <row r="404" spans="1:31" ht="13.5" thickBot="1">
      <c r="A404" s="202"/>
      <c r="B404" s="202"/>
      <c r="C404" s="202"/>
      <c r="D404" s="202"/>
      <c r="E404" s="202"/>
      <c r="F404" s="202"/>
      <c r="G404" s="202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  <c r="R404" s="177"/>
      <c r="S404" s="177"/>
      <c r="T404" s="177"/>
      <c r="U404" s="177"/>
      <c r="V404" s="177"/>
      <c r="W404" s="177"/>
      <c r="X404" s="177"/>
      <c r="Y404" s="177"/>
      <c r="Z404" s="177"/>
      <c r="AA404" s="177"/>
      <c r="AB404" s="177"/>
      <c r="AC404" s="177"/>
      <c r="AD404" s="177"/>
      <c r="AE404" s="177"/>
    </row>
    <row r="405" spans="1:31" ht="13.5" thickBot="1">
      <c r="A405" s="202"/>
      <c r="B405" s="202"/>
      <c r="C405" s="202"/>
      <c r="D405" s="202"/>
      <c r="E405" s="202"/>
      <c r="F405" s="202"/>
      <c r="G405" s="202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  <c r="R405" s="177"/>
      <c r="S405" s="177"/>
      <c r="T405" s="177"/>
      <c r="U405" s="177"/>
      <c r="V405" s="177"/>
      <c r="W405" s="177"/>
      <c r="X405" s="177"/>
      <c r="Y405" s="177"/>
      <c r="Z405" s="177"/>
      <c r="AA405" s="177"/>
      <c r="AB405" s="177"/>
      <c r="AC405" s="177"/>
      <c r="AD405" s="177"/>
      <c r="AE405" s="177"/>
    </row>
    <row r="406" spans="1:31" ht="13.5" thickBot="1">
      <c r="A406" s="202"/>
      <c r="B406" s="202"/>
      <c r="C406" s="202"/>
      <c r="D406" s="202"/>
      <c r="E406" s="202"/>
      <c r="F406" s="202"/>
      <c r="G406" s="202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  <c r="R406" s="177"/>
      <c r="S406" s="177"/>
      <c r="T406" s="177"/>
      <c r="U406" s="177"/>
      <c r="V406" s="177"/>
      <c r="W406" s="177"/>
      <c r="X406" s="177"/>
      <c r="Y406" s="177"/>
      <c r="Z406" s="177"/>
      <c r="AA406" s="177"/>
      <c r="AB406" s="177"/>
      <c r="AC406" s="177"/>
      <c r="AD406" s="177"/>
      <c r="AE406" s="177"/>
    </row>
    <row r="407" spans="1:31" ht="13.5" thickBot="1">
      <c r="A407" s="202"/>
      <c r="B407" s="202"/>
      <c r="C407" s="202"/>
      <c r="D407" s="202"/>
      <c r="E407" s="202"/>
      <c r="F407" s="202"/>
      <c r="G407" s="202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  <c r="R407" s="177"/>
      <c r="S407" s="177"/>
      <c r="T407" s="177"/>
      <c r="U407" s="177"/>
      <c r="V407" s="177"/>
      <c r="W407" s="177"/>
      <c r="X407" s="177"/>
      <c r="Y407" s="177"/>
      <c r="Z407" s="177"/>
      <c r="AA407" s="177"/>
      <c r="AB407" s="177"/>
      <c r="AC407" s="177"/>
      <c r="AD407" s="177"/>
      <c r="AE407" s="177"/>
    </row>
    <row r="408" spans="1:31" ht="13.5" thickBot="1">
      <c r="A408" s="202"/>
      <c r="B408" s="202"/>
      <c r="C408" s="202"/>
      <c r="D408" s="202"/>
      <c r="E408" s="202"/>
      <c r="F408" s="202"/>
      <c r="G408" s="202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  <c r="R408" s="177"/>
      <c r="S408" s="177"/>
      <c r="T408" s="177"/>
      <c r="U408" s="177"/>
      <c r="V408" s="177"/>
      <c r="W408" s="177"/>
      <c r="X408" s="177"/>
      <c r="Y408" s="177"/>
      <c r="Z408" s="177"/>
      <c r="AA408" s="177"/>
      <c r="AB408" s="177"/>
      <c r="AC408" s="177"/>
      <c r="AD408" s="177"/>
      <c r="AE408" s="177"/>
    </row>
    <row r="409" spans="1:31" ht="13.5" thickBot="1">
      <c r="A409" s="202"/>
      <c r="B409" s="202"/>
      <c r="C409" s="202"/>
      <c r="D409" s="202"/>
      <c r="E409" s="202"/>
      <c r="F409" s="202"/>
      <c r="G409" s="202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  <c r="R409" s="177"/>
      <c r="S409" s="177"/>
      <c r="T409" s="177"/>
      <c r="U409" s="177"/>
      <c r="V409" s="177"/>
      <c r="W409" s="177"/>
      <c r="X409" s="177"/>
      <c r="Y409" s="177"/>
      <c r="Z409" s="177"/>
      <c r="AA409" s="177"/>
      <c r="AB409" s="177"/>
      <c r="AC409" s="177"/>
      <c r="AD409" s="177"/>
      <c r="AE409" s="177"/>
    </row>
    <row r="410" spans="1:31" ht="13.5" thickBot="1">
      <c r="A410" s="202"/>
      <c r="B410" s="202"/>
      <c r="C410" s="202"/>
      <c r="D410" s="202"/>
      <c r="E410" s="202"/>
      <c r="F410" s="202"/>
      <c r="G410" s="202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</row>
    <row r="411" spans="1:31" ht="13.5" thickBot="1">
      <c r="A411" s="202"/>
      <c r="B411" s="202"/>
      <c r="C411" s="202"/>
      <c r="D411" s="202"/>
      <c r="E411" s="202"/>
      <c r="F411" s="202"/>
      <c r="G411" s="202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  <c r="R411" s="177"/>
      <c r="S411" s="177"/>
      <c r="T411" s="177"/>
      <c r="U411" s="177"/>
      <c r="V411" s="177"/>
      <c r="W411" s="177"/>
      <c r="X411" s="177"/>
      <c r="Y411" s="177"/>
      <c r="Z411" s="177"/>
      <c r="AA411" s="177"/>
      <c r="AB411" s="177"/>
      <c r="AC411" s="177"/>
      <c r="AD411" s="177"/>
      <c r="AE411" s="177"/>
    </row>
    <row r="412" spans="1:31" ht="13.5" thickBot="1">
      <c r="A412" s="202"/>
      <c r="B412" s="202"/>
      <c r="C412" s="202"/>
      <c r="D412" s="202"/>
      <c r="E412" s="202"/>
      <c r="F412" s="202"/>
      <c r="G412" s="202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  <c r="R412" s="177"/>
      <c r="S412" s="177"/>
      <c r="T412" s="177"/>
      <c r="U412" s="177"/>
      <c r="V412" s="177"/>
      <c r="W412" s="177"/>
      <c r="X412" s="177"/>
      <c r="Y412" s="177"/>
      <c r="Z412" s="177"/>
      <c r="AA412" s="177"/>
      <c r="AB412" s="177"/>
      <c r="AC412" s="177"/>
      <c r="AD412" s="177"/>
      <c r="AE412" s="177"/>
    </row>
    <row r="413" spans="1:31" ht="13.5" thickBot="1">
      <c r="A413" s="202"/>
      <c r="B413" s="202"/>
      <c r="C413" s="202"/>
      <c r="D413" s="202"/>
      <c r="E413" s="202"/>
      <c r="F413" s="202"/>
      <c r="G413" s="202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  <c r="R413" s="177"/>
      <c r="S413" s="177"/>
      <c r="T413" s="177"/>
      <c r="U413" s="177"/>
      <c r="V413" s="177"/>
      <c r="W413" s="177"/>
      <c r="X413" s="177"/>
      <c r="Y413" s="177"/>
      <c r="Z413" s="177"/>
      <c r="AA413" s="177"/>
      <c r="AB413" s="177"/>
      <c r="AC413" s="177"/>
      <c r="AD413" s="177"/>
      <c r="AE413" s="177"/>
    </row>
    <row r="414" spans="1:31" ht="13.5" thickBot="1">
      <c r="A414" s="202"/>
      <c r="B414" s="202"/>
      <c r="C414" s="202"/>
      <c r="D414" s="202"/>
      <c r="E414" s="202"/>
      <c r="F414" s="202"/>
      <c r="G414" s="202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  <c r="R414" s="177"/>
      <c r="S414" s="177"/>
      <c r="T414" s="177"/>
      <c r="U414" s="177"/>
      <c r="V414" s="177"/>
      <c r="W414" s="177"/>
      <c r="X414" s="177"/>
      <c r="Y414" s="177"/>
      <c r="Z414" s="177"/>
      <c r="AA414" s="177"/>
      <c r="AB414" s="177"/>
      <c r="AC414" s="177"/>
      <c r="AD414" s="177"/>
      <c r="AE414" s="177"/>
    </row>
    <row r="415" spans="1:31" ht="13.5" thickBot="1">
      <c r="A415" s="202"/>
      <c r="B415" s="202"/>
      <c r="C415" s="202"/>
      <c r="D415" s="202"/>
      <c r="E415" s="202"/>
      <c r="F415" s="202"/>
      <c r="G415" s="202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  <c r="R415" s="177"/>
      <c r="S415" s="177"/>
      <c r="T415" s="177"/>
      <c r="U415" s="177"/>
      <c r="V415" s="177"/>
      <c r="W415" s="177"/>
      <c r="X415" s="177"/>
      <c r="Y415" s="177"/>
      <c r="Z415" s="177"/>
      <c r="AA415" s="177"/>
      <c r="AB415" s="177"/>
      <c r="AC415" s="177"/>
      <c r="AD415" s="177"/>
      <c r="AE415" s="177"/>
    </row>
    <row r="416" spans="1:31" ht="13.5" thickBot="1">
      <c r="A416" s="202"/>
      <c r="B416" s="202"/>
      <c r="C416" s="202"/>
      <c r="D416" s="202"/>
      <c r="E416" s="202"/>
      <c r="F416" s="202"/>
      <c r="G416" s="202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  <c r="R416" s="177"/>
      <c r="S416" s="177"/>
      <c r="T416" s="177"/>
      <c r="U416" s="177"/>
      <c r="V416" s="177"/>
      <c r="W416" s="177"/>
      <c r="X416" s="177"/>
      <c r="Y416" s="177"/>
      <c r="Z416" s="177"/>
      <c r="AA416" s="177"/>
      <c r="AB416" s="177"/>
      <c r="AC416" s="177"/>
      <c r="AD416" s="177"/>
      <c r="AE416" s="177"/>
    </row>
    <row r="417" spans="1:31" ht="13.5" thickBot="1">
      <c r="A417" s="202"/>
      <c r="B417" s="202"/>
      <c r="C417" s="202"/>
      <c r="D417" s="202"/>
      <c r="E417" s="202"/>
      <c r="F417" s="202"/>
      <c r="G417" s="202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  <c r="R417" s="177"/>
      <c r="S417" s="177"/>
      <c r="T417" s="177"/>
      <c r="U417" s="177"/>
      <c r="V417" s="177"/>
      <c r="W417" s="177"/>
      <c r="X417" s="177"/>
      <c r="Y417" s="177"/>
      <c r="Z417" s="177"/>
      <c r="AA417" s="177"/>
      <c r="AB417" s="177"/>
      <c r="AC417" s="177"/>
      <c r="AD417" s="177"/>
      <c r="AE417" s="177"/>
    </row>
    <row r="418" spans="1:31" ht="13.5" thickBot="1">
      <c r="A418" s="202"/>
      <c r="B418" s="202"/>
      <c r="C418" s="202"/>
      <c r="D418" s="202"/>
      <c r="E418" s="202"/>
      <c r="F418" s="202"/>
      <c r="G418" s="202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  <c r="R418" s="177"/>
      <c r="S418" s="177"/>
      <c r="T418" s="177"/>
      <c r="U418" s="177"/>
      <c r="V418" s="177"/>
      <c r="W418" s="177"/>
      <c r="X418" s="177"/>
      <c r="Y418" s="177"/>
      <c r="Z418" s="177"/>
      <c r="AA418" s="177"/>
      <c r="AB418" s="177"/>
      <c r="AC418" s="177"/>
      <c r="AD418" s="177"/>
      <c r="AE418" s="177"/>
    </row>
    <row r="419" spans="1:31" ht="13.5" thickBot="1">
      <c r="A419" s="202"/>
      <c r="B419" s="202"/>
      <c r="C419" s="202"/>
      <c r="D419" s="202"/>
      <c r="E419" s="202"/>
      <c r="F419" s="202"/>
      <c r="G419" s="202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  <c r="R419" s="177"/>
      <c r="S419" s="177"/>
      <c r="T419" s="177"/>
      <c r="U419" s="177"/>
      <c r="V419" s="177"/>
      <c r="W419" s="177"/>
      <c r="X419" s="177"/>
      <c r="Y419" s="177"/>
      <c r="Z419" s="177"/>
      <c r="AA419" s="177"/>
      <c r="AB419" s="177"/>
      <c r="AC419" s="177"/>
      <c r="AD419" s="177"/>
      <c r="AE419" s="177"/>
    </row>
    <row r="420" spans="1:31" ht="13.5" thickBot="1">
      <c r="A420" s="202"/>
      <c r="B420" s="202"/>
      <c r="C420" s="202"/>
      <c r="D420" s="202"/>
      <c r="E420" s="202"/>
      <c r="F420" s="202"/>
      <c r="G420" s="202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  <c r="R420" s="177"/>
      <c r="S420" s="177"/>
      <c r="T420" s="177"/>
      <c r="U420" s="177"/>
      <c r="V420" s="177"/>
      <c r="W420" s="177"/>
      <c r="X420" s="177"/>
      <c r="Y420" s="177"/>
      <c r="Z420" s="177"/>
      <c r="AA420" s="177"/>
      <c r="AB420" s="177"/>
      <c r="AC420" s="177"/>
      <c r="AD420" s="177"/>
      <c r="AE420" s="177"/>
    </row>
    <row r="421" spans="1:31" ht="13.5" thickBot="1">
      <c r="A421" s="202"/>
      <c r="B421" s="202"/>
      <c r="C421" s="202"/>
      <c r="D421" s="202"/>
      <c r="E421" s="202"/>
      <c r="F421" s="202"/>
      <c r="G421" s="202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  <c r="R421" s="177"/>
      <c r="S421" s="177"/>
      <c r="T421" s="177"/>
      <c r="U421" s="177"/>
      <c r="V421" s="177"/>
      <c r="W421" s="177"/>
      <c r="X421" s="177"/>
      <c r="Y421" s="177"/>
      <c r="Z421" s="177"/>
      <c r="AA421" s="177"/>
      <c r="AB421" s="177"/>
      <c r="AC421" s="177"/>
      <c r="AD421" s="177"/>
      <c r="AE421" s="177"/>
    </row>
    <row r="422" spans="1:31" ht="13.5" thickBot="1">
      <c r="A422" s="202"/>
      <c r="B422" s="202"/>
      <c r="C422" s="202"/>
      <c r="D422" s="202"/>
      <c r="E422" s="202"/>
      <c r="F422" s="202"/>
      <c r="G422" s="202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  <c r="R422" s="177"/>
      <c r="S422" s="177"/>
      <c r="T422" s="177"/>
      <c r="U422" s="177"/>
      <c r="V422" s="177"/>
      <c r="W422" s="177"/>
      <c r="X422" s="177"/>
      <c r="Y422" s="177"/>
      <c r="Z422" s="177"/>
      <c r="AA422" s="177"/>
      <c r="AB422" s="177"/>
      <c r="AC422" s="177"/>
      <c r="AD422" s="177"/>
      <c r="AE422" s="177"/>
    </row>
    <row r="423" spans="1:31" ht="13.5" thickBot="1">
      <c r="A423" s="202"/>
      <c r="B423" s="202"/>
      <c r="C423" s="202"/>
      <c r="D423" s="202"/>
      <c r="E423" s="202"/>
      <c r="F423" s="202"/>
      <c r="G423" s="202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  <c r="R423" s="177"/>
      <c r="S423" s="177"/>
      <c r="T423" s="177"/>
      <c r="U423" s="177"/>
      <c r="V423" s="177"/>
      <c r="W423" s="177"/>
      <c r="X423" s="177"/>
      <c r="Y423" s="177"/>
      <c r="Z423" s="177"/>
      <c r="AA423" s="177"/>
      <c r="AB423" s="177"/>
      <c r="AC423" s="177"/>
      <c r="AD423" s="177"/>
      <c r="AE423" s="177"/>
    </row>
    <row r="424" spans="1:31" ht="13.5" thickBot="1">
      <c r="A424" s="202"/>
      <c r="B424" s="202"/>
      <c r="C424" s="202"/>
      <c r="D424" s="202"/>
      <c r="E424" s="202"/>
      <c r="F424" s="202"/>
      <c r="G424" s="202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  <c r="R424" s="177"/>
      <c r="S424" s="177"/>
      <c r="T424" s="177"/>
      <c r="U424" s="177"/>
      <c r="V424" s="177"/>
      <c r="W424" s="177"/>
      <c r="X424" s="177"/>
      <c r="Y424" s="177"/>
      <c r="Z424" s="177"/>
      <c r="AA424" s="177"/>
      <c r="AB424" s="177"/>
      <c r="AC424" s="177"/>
      <c r="AD424" s="177"/>
      <c r="AE424" s="177"/>
    </row>
    <row r="425" spans="1:31" ht="13.5" thickBot="1">
      <c r="A425" s="202"/>
      <c r="B425" s="202"/>
      <c r="C425" s="202"/>
      <c r="D425" s="202"/>
      <c r="E425" s="202"/>
      <c r="F425" s="202"/>
      <c r="G425" s="202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  <c r="R425" s="177"/>
      <c r="S425" s="177"/>
      <c r="T425" s="177"/>
      <c r="U425" s="177"/>
      <c r="V425" s="177"/>
      <c r="W425" s="177"/>
      <c r="X425" s="177"/>
      <c r="Y425" s="177"/>
      <c r="Z425" s="177"/>
      <c r="AA425" s="177"/>
      <c r="AB425" s="177"/>
      <c r="AC425" s="177"/>
      <c r="AD425" s="177"/>
      <c r="AE425" s="177"/>
    </row>
    <row r="426" spans="1:31" ht="13.5" thickBot="1">
      <c r="A426" s="202"/>
      <c r="B426" s="202"/>
      <c r="C426" s="202"/>
      <c r="D426" s="202"/>
      <c r="E426" s="202"/>
      <c r="F426" s="202"/>
      <c r="G426" s="202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  <c r="R426" s="177"/>
      <c r="S426" s="177"/>
      <c r="T426" s="177"/>
      <c r="U426" s="177"/>
      <c r="V426" s="177"/>
      <c r="W426" s="177"/>
      <c r="X426" s="177"/>
      <c r="Y426" s="177"/>
      <c r="Z426" s="177"/>
      <c r="AA426" s="177"/>
      <c r="AB426" s="177"/>
      <c r="AC426" s="177"/>
      <c r="AD426" s="177"/>
      <c r="AE426" s="177"/>
    </row>
    <row r="427" spans="1:31" ht="13.5" thickBot="1">
      <c r="A427" s="202"/>
      <c r="B427" s="202"/>
      <c r="C427" s="202"/>
      <c r="D427" s="202"/>
      <c r="E427" s="202"/>
      <c r="F427" s="202"/>
      <c r="G427" s="202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  <c r="R427" s="177"/>
      <c r="S427" s="177"/>
      <c r="T427" s="177"/>
      <c r="U427" s="177"/>
      <c r="V427" s="177"/>
      <c r="W427" s="177"/>
      <c r="X427" s="177"/>
      <c r="Y427" s="177"/>
      <c r="Z427" s="177"/>
      <c r="AA427" s="177"/>
      <c r="AB427" s="177"/>
      <c r="AC427" s="177"/>
      <c r="AD427" s="177"/>
      <c r="AE427" s="177"/>
    </row>
    <row r="428" spans="1:31" ht="13.5" thickBot="1">
      <c r="A428" s="202"/>
      <c r="B428" s="202"/>
      <c r="C428" s="202"/>
      <c r="D428" s="202"/>
      <c r="E428" s="202"/>
      <c r="F428" s="202"/>
      <c r="G428" s="202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  <c r="R428" s="177"/>
      <c r="S428" s="177"/>
      <c r="T428" s="177"/>
      <c r="U428" s="177"/>
      <c r="V428" s="177"/>
      <c r="W428" s="177"/>
      <c r="X428" s="177"/>
      <c r="Y428" s="177"/>
      <c r="Z428" s="177"/>
      <c r="AA428" s="177"/>
      <c r="AB428" s="177"/>
      <c r="AC428" s="177"/>
      <c r="AD428" s="177"/>
      <c r="AE428" s="177"/>
    </row>
    <row r="429" spans="1:31" ht="13.5" thickBot="1">
      <c r="A429" s="202"/>
      <c r="B429" s="202"/>
      <c r="C429" s="202"/>
      <c r="D429" s="202"/>
      <c r="E429" s="202"/>
      <c r="F429" s="202"/>
      <c r="G429" s="202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77"/>
      <c r="AE429" s="177"/>
    </row>
    <row r="430" spans="1:31" ht="13.5" thickBot="1">
      <c r="A430" s="202"/>
      <c r="B430" s="202"/>
      <c r="C430" s="202"/>
      <c r="D430" s="202"/>
      <c r="E430" s="202"/>
      <c r="F430" s="202"/>
      <c r="G430" s="202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  <c r="R430" s="177"/>
      <c r="S430" s="177"/>
      <c r="T430" s="177"/>
      <c r="U430" s="177"/>
      <c r="V430" s="177"/>
      <c r="W430" s="177"/>
      <c r="X430" s="177"/>
      <c r="Y430" s="177"/>
      <c r="Z430" s="177"/>
      <c r="AA430" s="177"/>
      <c r="AB430" s="177"/>
      <c r="AC430" s="177"/>
      <c r="AD430" s="177"/>
      <c r="AE430" s="177"/>
    </row>
    <row r="431" spans="1:31" ht="13.5" thickBot="1">
      <c r="A431" s="202"/>
      <c r="B431" s="202"/>
      <c r="C431" s="202"/>
      <c r="D431" s="202"/>
      <c r="E431" s="202"/>
      <c r="F431" s="202"/>
      <c r="G431" s="202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  <c r="R431" s="177"/>
      <c r="S431" s="177"/>
      <c r="T431" s="177"/>
      <c r="U431" s="177"/>
      <c r="V431" s="177"/>
      <c r="W431" s="177"/>
      <c r="X431" s="177"/>
      <c r="Y431" s="177"/>
      <c r="Z431" s="177"/>
      <c r="AA431" s="177"/>
      <c r="AB431" s="177"/>
      <c r="AC431" s="177"/>
      <c r="AD431" s="177"/>
      <c r="AE431" s="177"/>
    </row>
    <row r="432" spans="1:31" ht="13.5" thickBot="1">
      <c r="A432" s="202"/>
      <c r="B432" s="202"/>
      <c r="C432" s="202"/>
      <c r="D432" s="202"/>
      <c r="E432" s="202"/>
      <c r="F432" s="202"/>
      <c r="G432" s="202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  <c r="R432" s="177"/>
      <c r="S432" s="177"/>
      <c r="T432" s="177"/>
      <c r="U432" s="177"/>
      <c r="V432" s="177"/>
      <c r="W432" s="177"/>
      <c r="X432" s="177"/>
      <c r="Y432" s="177"/>
      <c r="Z432" s="177"/>
      <c r="AA432" s="177"/>
      <c r="AB432" s="177"/>
      <c r="AC432" s="177"/>
      <c r="AD432" s="177"/>
      <c r="AE432" s="177"/>
    </row>
    <row r="433" spans="1:31" ht="13.5" thickBot="1">
      <c r="A433" s="202"/>
      <c r="B433" s="202"/>
      <c r="C433" s="202"/>
      <c r="D433" s="202"/>
      <c r="E433" s="202"/>
      <c r="F433" s="202"/>
      <c r="G433" s="202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  <c r="R433" s="177"/>
      <c r="S433" s="177"/>
      <c r="T433" s="177"/>
      <c r="U433" s="177"/>
      <c r="V433" s="177"/>
      <c r="W433" s="177"/>
      <c r="X433" s="177"/>
      <c r="Y433" s="177"/>
      <c r="Z433" s="177"/>
      <c r="AA433" s="177"/>
      <c r="AB433" s="177"/>
      <c r="AC433" s="177"/>
      <c r="AD433" s="177"/>
      <c r="AE433" s="177"/>
    </row>
    <row r="434" spans="1:31" ht="13.5" thickBot="1">
      <c r="A434" s="202"/>
      <c r="B434" s="202"/>
      <c r="C434" s="202"/>
      <c r="D434" s="202"/>
      <c r="E434" s="202"/>
      <c r="F434" s="202"/>
      <c r="G434" s="202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  <c r="R434" s="177"/>
      <c r="S434" s="177"/>
      <c r="T434" s="177"/>
      <c r="U434" s="177"/>
      <c r="V434" s="177"/>
      <c r="W434" s="177"/>
      <c r="X434" s="177"/>
      <c r="Y434" s="177"/>
      <c r="Z434" s="177"/>
      <c r="AA434" s="177"/>
      <c r="AB434" s="177"/>
      <c r="AC434" s="177"/>
      <c r="AD434" s="177"/>
      <c r="AE434" s="177"/>
    </row>
    <row r="435" spans="1:31" ht="13.5" thickBot="1">
      <c r="A435" s="202"/>
      <c r="B435" s="202"/>
      <c r="C435" s="202"/>
      <c r="D435" s="202"/>
      <c r="E435" s="202"/>
      <c r="F435" s="202"/>
      <c r="G435" s="202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  <c r="R435" s="177"/>
      <c r="S435" s="177"/>
      <c r="T435" s="177"/>
      <c r="U435" s="177"/>
      <c r="V435" s="177"/>
      <c r="W435" s="177"/>
      <c r="X435" s="177"/>
      <c r="Y435" s="177"/>
      <c r="Z435" s="177"/>
      <c r="AA435" s="177"/>
      <c r="AB435" s="177"/>
      <c r="AC435" s="177"/>
      <c r="AD435" s="177"/>
      <c r="AE435" s="177"/>
    </row>
    <row r="436" spans="1:31" ht="13.5" thickBot="1">
      <c r="A436" s="202"/>
      <c r="B436" s="202"/>
      <c r="C436" s="202"/>
      <c r="D436" s="202"/>
      <c r="E436" s="202"/>
      <c r="F436" s="202"/>
      <c r="G436" s="202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  <c r="R436" s="177"/>
      <c r="S436" s="177"/>
      <c r="T436" s="177"/>
      <c r="U436" s="177"/>
      <c r="V436" s="177"/>
      <c r="W436" s="177"/>
      <c r="X436" s="177"/>
      <c r="Y436" s="177"/>
      <c r="Z436" s="177"/>
      <c r="AA436" s="177"/>
      <c r="AB436" s="177"/>
      <c r="AC436" s="177"/>
      <c r="AD436" s="177"/>
      <c r="AE436" s="177"/>
    </row>
    <row r="437" spans="1:31" ht="13.5" thickBot="1">
      <c r="A437" s="202"/>
      <c r="B437" s="202"/>
      <c r="C437" s="202"/>
      <c r="D437" s="202"/>
      <c r="E437" s="202"/>
      <c r="F437" s="202"/>
      <c r="G437" s="202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  <c r="R437" s="177"/>
      <c r="S437" s="177"/>
      <c r="T437" s="177"/>
      <c r="U437" s="177"/>
      <c r="V437" s="177"/>
      <c r="W437" s="177"/>
      <c r="X437" s="177"/>
      <c r="Y437" s="177"/>
      <c r="Z437" s="177"/>
      <c r="AA437" s="177"/>
      <c r="AB437" s="177"/>
      <c r="AC437" s="177"/>
      <c r="AD437" s="177"/>
      <c r="AE437" s="177"/>
    </row>
    <row r="438" spans="1:31" ht="13.5" thickBot="1">
      <c r="A438" s="202"/>
      <c r="B438" s="202"/>
      <c r="C438" s="202"/>
      <c r="D438" s="202"/>
      <c r="E438" s="202"/>
      <c r="F438" s="202"/>
      <c r="G438" s="202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  <c r="R438" s="177"/>
      <c r="S438" s="177"/>
      <c r="T438" s="177"/>
      <c r="U438" s="177"/>
      <c r="V438" s="177"/>
      <c r="W438" s="177"/>
      <c r="X438" s="177"/>
      <c r="Y438" s="177"/>
      <c r="Z438" s="177"/>
      <c r="AA438" s="177"/>
      <c r="AB438" s="177"/>
      <c r="AC438" s="177"/>
      <c r="AD438" s="177"/>
      <c r="AE438" s="177"/>
    </row>
    <row r="439" spans="1:31" ht="13.5" thickBot="1">
      <c r="A439" s="202"/>
      <c r="B439" s="202"/>
      <c r="C439" s="202"/>
      <c r="D439" s="202"/>
      <c r="E439" s="202"/>
      <c r="F439" s="202"/>
      <c r="G439" s="202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  <c r="R439" s="177"/>
      <c r="S439" s="177"/>
      <c r="T439" s="177"/>
      <c r="U439" s="177"/>
      <c r="V439" s="177"/>
      <c r="W439" s="177"/>
      <c r="X439" s="177"/>
      <c r="Y439" s="177"/>
      <c r="Z439" s="177"/>
      <c r="AA439" s="177"/>
      <c r="AB439" s="177"/>
      <c r="AC439" s="177"/>
      <c r="AD439" s="177"/>
      <c r="AE439" s="177"/>
    </row>
    <row r="440" spans="1:31" ht="13.5" thickBot="1">
      <c r="A440" s="202"/>
      <c r="B440" s="202"/>
      <c r="C440" s="202"/>
      <c r="D440" s="202"/>
      <c r="E440" s="202"/>
      <c r="F440" s="202"/>
      <c r="G440" s="202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  <c r="R440" s="177"/>
      <c r="S440" s="177"/>
      <c r="T440" s="177"/>
      <c r="U440" s="177"/>
      <c r="V440" s="177"/>
      <c r="W440" s="177"/>
      <c r="X440" s="177"/>
      <c r="Y440" s="177"/>
      <c r="Z440" s="177"/>
      <c r="AA440" s="177"/>
      <c r="AB440" s="177"/>
      <c r="AC440" s="177"/>
      <c r="AD440" s="177"/>
      <c r="AE440" s="177"/>
    </row>
    <row r="441" spans="1:31" ht="13.5" thickBot="1">
      <c r="A441" s="202"/>
      <c r="B441" s="202"/>
      <c r="C441" s="202"/>
      <c r="D441" s="202"/>
      <c r="E441" s="202"/>
      <c r="F441" s="202"/>
      <c r="G441" s="202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  <c r="R441" s="177"/>
      <c r="S441" s="177"/>
      <c r="T441" s="177"/>
      <c r="U441" s="177"/>
      <c r="V441" s="177"/>
      <c r="W441" s="177"/>
      <c r="X441" s="177"/>
      <c r="Y441" s="177"/>
      <c r="Z441" s="177"/>
      <c r="AA441" s="177"/>
      <c r="AB441" s="177"/>
      <c r="AC441" s="177"/>
      <c r="AD441" s="177"/>
      <c r="AE441" s="177"/>
    </row>
    <row r="442" spans="1:31" ht="13.5" thickBot="1">
      <c r="A442" s="202"/>
      <c r="B442" s="202"/>
      <c r="C442" s="202"/>
      <c r="D442" s="202"/>
      <c r="E442" s="202"/>
      <c r="F442" s="202"/>
      <c r="G442" s="202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  <c r="R442" s="177"/>
      <c r="S442" s="177"/>
      <c r="T442" s="177"/>
      <c r="U442" s="177"/>
      <c r="V442" s="177"/>
      <c r="W442" s="177"/>
      <c r="X442" s="177"/>
      <c r="Y442" s="177"/>
      <c r="Z442" s="177"/>
      <c r="AA442" s="177"/>
      <c r="AB442" s="177"/>
      <c r="AC442" s="177"/>
      <c r="AD442" s="177"/>
      <c r="AE442" s="177"/>
    </row>
    <row r="443" spans="1:31" ht="13.5" thickBot="1">
      <c r="A443" s="202"/>
      <c r="B443" s="202"/>
      <c r="C443" s="202"/>
      <c r="D443" s="202"/>
      <c r="E443" s="202"/>
      <c r="F443" s="202"/>
      <c r="G443" s="202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  <c r="R443" s="177"/>
      <c r="S443" s="177"/>
      <c r="T443" s="177"/>
      <c r="U443" s="177"/>
      <c r="V443" s="177"/>
      <c r="W443" s="177"/>
      <c r="X443" s="177"/>
      <c r="Y443" s="177"/>
      <c r="Z443" s="177"/>
      <c r="AA443" s="177"/>
      <c r="AB443" s="177"/>
      <c r="AC443" s="177"/>
      <c r="AD443" s="177"/>
      <c r="AE443" s="177"/>
    </row>
    <row r="444" spans="1:31" ht="13.5" thickBot="1">
      <c r="A444" s="202"/>
      <c r="B444" s="202"/>
      <c r="C444" s="202"/>
      <c r="D444" s="202"/>
      <c r="E444" s="202"/>
      <c r="F444" s="202"/>
      <c r="G444" s="202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  <c r="R444" s="177"/>
      <c r="S444" s="177"/>
      <c r="T444" s="177"/>
      <c r="U444" s="177"/>
      <c r="V444" s="177"/>
      <c r="W444" s="177"/>
      <c r="X444" s="177"/>
      <c r="Y444" s="177"/>
      <c r="Z444" s="177"/>
      <c r="AA444" s="177"/>
      <c r="AB444" s="177"/>
      <c r="AC444" s="177"/>
      <c r="AD444" s="177"/>
      <c r="AE444" s="177"/>
    </row>
    <row r="445" spans="1:31" ht="13.5" thickBot="1">
      <c r="A445" s="202"/>
      <c r="B445" s="202"/>
      <c r="C445" s="202"/>
      <c r="D445" s="202"/>
      <c r="E445" s="202"/>
      <c r="F445" s="202"/>
      <c r="G445" s="202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  <c r="R445" s="177"/>
      <c r="S445" s="177"/>
      <c r="T445" s="177"/>
      <c r="U445" s="177"/>
      <c r="V445" s="177"/>
      <c r="W445" s="177"/>
      <c r="X445" s="177"/>
      <c r="Y445" s="177"/>
      <c r="Z445" s="177"/>
      <c r="AA445" s="177"/>
      <c r="AB445" s="177"/>
      <c r="AC445" s="177"/>
      <c r="AD445" s="177"/>
      <c r="AE445" s="177"/>
    </row>
    <row r="446" spans="1:31" ht="13.5" thickBot="1">
      <c r="A446" s="202"/>
      <c r="B446" s="202"/>
      <c r="C446" s="202"/>
      <c r="D446" s="202"/>
      <c r="E446" s="202"/>
      <c r="F446" s="202"/>
      <c r="G446" s="202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  <c r="R446" s="177"/>
      <c r="S446" s="177"/>
      <c r="T446" s="177"/>
      <c r="U446" s="177"/>
      <c r="V446" s="177"/>
      <c r="W446" s="177"/>
      <c r="X446" s="177"/>
      <c r="Y446" s="177"/>
      <c r="Z446" s="177"/>
      <c r="AA446" s="177"/>
      <c r="AB446" s="177"/>
      <c r="AC446" s="177"/>
      <c r="AD446" s="177"/>
      <c r="AE446" s="177"/>
    </row>
    <row r="447" spans="1:31" ht="13.5" thickBot="1">
      <c r="A447" s="202"/>
      <c r="B447" s="202"/>
      <c r="C447" s="202"/>
      <c r="D447" s="202"/>
      <c r="E447" s="202"/>
      <c r="F447" s="202"/>
      <c r="G447" s="202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  <c r="R447" s="177"/>
      <c r="S447" s="177"/>
      <c r="T447" s="177"/>
      <c r="U447" s="177"/>
      <c r="V447" s="177"/>
      <c r="W447" s="177"/>
      <c r="X447" s="177"/>
      <c r="Y447" s="177"/>
      <c r="Z447" s="177"/>
      <c r="AA447" s="177"/>
      <c r="AB447" s="177"/>
      <c r="AC447" s="177"/>
      <c r="AD447" s="177"/>
      <c r="AE447" s="177"/>
    </row>
    <row r="448" spans="1:31" ht="13.5" thickBot="1">
      <c r="A448" s="202"/>
      <c r="B448" s="202"/>
      <c r="C448" s="202"/>
      <c r="D448" s="202"/>
      <c r="E448" s="202"/>
      <c r="F448" s="202"/>
      <c r="G448" s="202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  <c r="R448" s="177"/>
      <c r="S448" s="177"/>
      <c r="T448" s="177"/>
      <c r="U448" s="177"/>
      <c r="V448" s="177"/>
      <c r="W448" s="177"/>
      <c r="X448" s="177"/>
      <c r="Y448" s="177"/>
      <c r="Z448" s="177"/>
      <c r="AA448" s="177"/>
      <c r="AB448" s="177"/>
      <c r="AC448" s="177"/>
      <c r="AD448" s="177"/>
      <c r="AE448" s="177"/>
    </row>
    <row r="449" spans="1:31" ht="13.5" thickBot="1">
      <c r="A449" s="202"/>
      <c r="B449" s="202"/>
      <c r="C449" s="202"/>
      <c r="D449" s="202"/>
      <c r="E449" s="202"/>
      <c r="F449" s="202"/>
      <c r="G449" s="202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  <c r="R449" s="177"/>
      <c r="S449" s="177"/>
      <c r="T449" s="177"/>
      <c r="U449" s="177"/>
      <c r="V449" s="177"/>
      <c r="W449" s="177"/>
      <c r="X449" s="177"/>
      <c r="Y449" s="177"/>
      <c r="Z449" s="177"/>
      <c r="AA449" s="177"/>
      <c r="AB449" s="177"/>
      <c r="AC449" s="177"/>
      <c r="AD449" s="177"/>
      <c r="AE449" s="177"/>
    </row>
    <row r="450" spans="1:31" ht="13.5" thickBot="1">
      <c r="A450" s="202"/>
      <c r="B450" s="202"/>
      <c r="C450" s="202"/>
      <c r="D450" s="202"/>
      <c r="E450" s="202"/>
      <c r="F450" s="202"/>
      <c r="G450" s="202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  <c r="R450" s="177"/>
      <c r="S450" s="177"/>
      <c r="T450" s="177"/>
      <c r="U450" s="177"/>
      <c r="V450" s="177"/>
      <c r="W450" s="177"/>
      <c r="X450" s="177"/>
      <c r="Y450" s="177"/>
      <c r="Z450" s="177"/>
      <c r="AA450" s="177"/>
      <c r="AB450" s="177"/>
      <c r="AC450" s="177"/>
      <c r="AD450" s="177"/>
      <c r="AE450" s="177"/>
    </row>
    <row r="451" spans="1:31" ht="13.5" thickBot="1">
      <c r="A451" s="202"/>
      <c r="B451" s="202"/>
      <c r="C451" s="202"/>
      <c r="D451" s="202"/>
      <c r="E451" s="202"/>
      <c r="F451" s="202"/>
      <c r="G451" s="202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  <c r="R451" s="177"/>
      <c r="S451" s="177"/>
      <c r="T451" s="177"/>
      <c r="U451" s="177"/>
      <c r="V451" s="177"/>
      <c r="W451" s="177"/>
      <c r="X451" s="177"/>
      <c r="Y451" s="177"/>
      <c r="Z451" s="177"/>
      <c r="AA451" s="177"/>
      <c r="AB451" s="177"/>
      <c r="AC451" s="177"/>
      <c r="AD451" s="177"/>
      <c r="AE451" s="177"/>
    </row>
    <row r="452" spans="1:31" ht="13.5" thickBot="1">
      <c r="A452" s="202"/>
      <c r="B452" s="202"/>
      <c r="C452" s="202"/>
      <c r="D452" s="202"/>
      <c r="E452" s="202"/>
      <c r="F452" s="202"/>
      <c r="G452" s="202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  <c r="R452" s="177"/>
      <c r="S452" s="177"/>
      <c r="T452" s="177"/>
      <c r="U452" s="177"/>
      <c r="V452" s="177"/>
      <c r="W452" s="177"/>
      <c r="X452" s="177"/>
      <c r="Y452" s="177"/>
      <c r="Z452" s="177"/>
      <c r="AA452" s="177"/>
      <c r="AB452" s="177"/>
      <c r="AC452" s="177"/>
      <c r="AD452" s="177"/>
      <c r="AE452" s="177"/>
    </row>
    <row r="453" spans="1:31" ht="13.5" thickBot="1">
      <c r="A453" s="202"/>
      <c r="B453" s="202"/>
      <c r="C453" s="202"/>
      <c r="D453" s="202"/>
      <c r="E453" s="202"/>
      <c r="F453" s="202"/>
      <c r="G453" s="202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  <c r="R453" s="177"/>
      <c r="S453" s="177"/>
      <c r="T453" s="177"/>
      <c r="U453" s="177"/>
      <c r="V453" s="177"/>
      <c r="W453" s="177"/>
      <c r="X453" s="177"/>
      <c r="Y453" s="177"/>
      <c r="Z453" s="177"/>
      <c r="AA453" s="177"/>
      <c r="AB453" s="177"/>
      <c r="AC453" s="177"/>
      <c r="AD453" s="177"/>
      <c r="AE453" s="177"/>
    </row>
    <row r="454" spans="1:31" ht="13.5" thickBot="1">
      <c r="A454" s="202"/>
      <c r="B454" s="202"/>
      <c r="C454" s="202"/>
      <c r="D454" s="202"/>
      <c r="E454" s="202"/>
      <c r="F454" s="202"/>
      <c r="G454" s="202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  <c r="R454" s="177"/>
      <c r="S454" s="177"/>
      <c r="T454" s="177"/>
      <c r="U454" s="177"/>
      <c r="V454" s="177"/>
      <c r="W454" s="177"/>
      <c r="X454" s="177"/>
      <c r="Y454" s="177"/>
      <c r="Z454" s="177"/>
      <c r="AA454" s="177"/>
      <c r="AB454" s="177"/>
      <c r="AC454" s="177"/>
      <c r="AD454" s="177"/>
      <c r="AE454" s="177"/>
    </row>
    <row r="455" spans="1:31" ht="13.5" thickBot="1">
      <c r="A455" s="202"/>
      <c r="B455" s="202"/>
      <c r="C455" s="202"/>
      <c r="D455" s="202"/>
      <c r="E455" s="202"/>
      <c r="F455" s="202"/>
      <c r="G455" s="202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  <c r="R455" s="177"/>
      <c r="S455" s="177"/>
      <c r="T455" s="177"/>
      <c r="U455" s="177"/>
      <c r="V455" s="177"/>
      <c r="W455" s="177"/>
      <c r="X455" s="177"/>
      <c r="Y455" s="177"/>
      <c r="Z455" s="177"/>
      <c r="AA455" s="177"/>
      <c r="AB455" s="177"/>
      <c r="AC455" s="177"/>
      <c r="AD455" s="177"/>
      <c r="AE455" s="177"/>
    </row>
    <row r="456" spans="1:31" ht="13.5" thickBot="1">
      <c r="A456" s="202"/>
      <c r="B456" s="202"/>
      <c r="C456" s="202"/>
      <c r="D456" s="202"/>
      <c r="E456" s="202"/>
      <c r="F456" s="202"/>
      <c r="G456" s="202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7"/>
      <c r="AA456" s="177"/>
      <c r="AB456" s="177"/>
      <c r="AC456" s="177"/>
      <c r="AD456" s="177"/>
      <c r="AE456" s="177"/>
    </row>
    <row r="457" spans="1:31" ht="13.5" thickBot="1">
      <c r="A457" s="202"/>
      <c r="B457" s="202"/>
      <c r="C457" s="202"/>
      <c r="D457" s="202"/>
      <c r="E457" s="202"/>
      <c r="F457" s="202"/>
      <c r="G457" s="202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  <c r="R457" s="177"/>
      <c r="S457" s="177"/>
      <c r="T457" s="177"/>
      <c r="U457" s="177"/>
      <c r="V457" s="177"/>
      <c r="W457" s="177"/>
      <c r="X457" s="177"/>
      <c r="Y457" s="177"/>
      <c r="Z457" s="177"/>
      <c r="AA457" s="177"/>
      <c r="AB457" s="177"/>
      <c r="AC457" s="177"/>
      <c r="AD457" s="177"/>
      <c r="AE457" s="177"/>
    </row>
    <row r="458" spans="1:31" ht="13.5" thickBot="1">
      <c r="A458" s="202"/>
      <c r="B458" s="202"/>
      <c r="C458" s="202"/>
      <c r="D458" s="202"/>
      <c r="E458" s="202"/>
      <c r="F458" s="202"/>
      <c r="G458" s="202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  <c r="R458" s="177"/>
      <c r="S458" s="177"/>
      <c r="T458" s="177"/>
      <c r="U458" s="177"/>
      <c r="V458" s="177"/>
      <c r="W458" s="177"/>
      <c r="X458" s="177"/>
      <c r="Y458" s="177"/>
      <c r="Z458" s="177"/>
      <c r="AA458" s="177"/>
      <c r="AB458" s="177"/>
      <c r="AC458" s="177"/>
      <c r="AD458" s="177"/>
      <c r="AE458" s="177"/>
    </row>
    <row r="459" spans="1:31" ht="13.5" thickBot="1">
      <c r="A459" s="202"/>
      <c r="B459" s="202"/>
      <c r="C459" s="202"/>
      <c r="D459" s="202"/>
      <c r="E459" s="202"/>
      <c r="F459" s="202"/>
      <c r="G459" s="202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  <c r="R459" s="177"/>
      <c r="S459" s="177"/>
      <c r="T459" s="177"/>
      <c r="U459" s="177"/>
      <c r="V459" s="177"/>
      <c r="W459" s="177"/>
      <c r="X459" s="177"/>
      <c r="Y459" s="177"/>
      <c r="Z459" s="177"/>
      <c r="AA459" s="177"/>
      <c r="AB459" s="177"/>
      <c r="AC459" s="177"/>
      <c r="AD459" s="177"/>
      <c r="AE459" s="177"/>
    </row>
    <row r="460" spans="1:31" ht="13.5" thickBot="1">
      <c r="A460" s="202"/>
      <c r="B460" s="202"/>
      <c r="C460" s="202"/>
      <c r="D460" s="202"/>
      <c r="E460" s="202"/>
      <c r="F460" s="202"/>
      <c r="G460" s="202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  <c r="R460" s="177"/>
      <c r="S460" s="177"/>
      <c r="T460" s="177"/>
      <c r="U460" s="177"/>
      <c r="V460" s="177"/>
      <c r="W460" s="177"/>
      <c r="X460" s="177"/>
      <c r="Y460" s="177"/>
      <c r="Z460" s="177"/>
      <c r="AA460" s="177"/>
      <c r="AB460" s="177"/>
      <c r="AC460" s="177"/>
      <c r="AD460" s="177"/>
      <c r="AE460" s="177"/>
    </row>
    <row r="461" spans="1:31" ht="13.5" thickBot="1">
      <c r="A461" s="202"/>
      <c r="B461" s="202"/>
      <c r="C461" s="202"/>
      <c r="D461" s="202"/>
      <c r="E461" s="202"/>
      <c r="F461" s="202"/>
      <c r="G461" s="202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</row>
    <row r="462" spans="1:31" ht="13.5" thickBot="1">
      <c r="A462" s="202"/>
      <c r="B462" s="202"/>
      <c r="C462" s="202"/>
      <c r="D462" s="202"/>
      <c r="E462" s="202"/>
      <c r="F462" s="202"/>
      <c r="G462" s="202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  <c r="R462" s="177"/>
      <c r="S462" s="177"/>
      <c r="T462" s="177"/>
      <c r="U462" s="177"/>
      <c r="V462" s="177"/>
      <c r="W462" s="177"/>
      <c r="X462" s="177"/>
      <c r="Y462" s="177"/>
      <c r="Z462" s="177"/>
      <c r="AA462" s="177"/>
      <c r="AB462" s="177"/>
      <c r="AC462" s="177"/>
      <c r="AD462" s="177"/>
      <c r="AE462" s="177"/>
    </row>
    <row r="463" spans="1:31" ht="13.5" thickBot="1">
      <c r="A463" s="202"/>
      <c r="B463" s="202"/>
      <c r="C463" s="202"/>
      <c r="D463" s="202"/>
      <c r="E463" s="202"/>
      <c r="F463" s="202"/>
      <c r="G463" s="202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  <c r="R463" s="177"/>
      <c r="S463" s="177"/>
      <c r="T463" s="177"/>
      <c r="U463" s="177"/>
      <c r="V463" s="177"/>
      <c r="W463" s="177"/>
      <c r="X463" s="177"/>
      <c r="Y463" s="177"/>
      <c r="Z463" s="177"/>
      <c r="AA463" s="177"/>
      <c r="AB463" s="177"/>
      <c r="AC463" s="177"/>
      <c r="AD463" s="177"/>
      <c r="AE463" s="177"/>
    </row>
    <row r="464" spans="1:31" ht="13.5" thickBot="1">
      <c r="A464" s="202"/>
      <c r="B464" s="202"/>
      <c r="C464" s="202"/>
      <c r="D464" s="202"/>
      <c r="E464" s="202"/>
      <c r="F464" s="202"/>
      <c r="G464" s="202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  <c r="R464" s="177"/>
      <c r="S464" s="177"/>
      <c r="T464" s="177"/>
      <c r="U464" s="177"/>
      <c r="V464" s="177"/>
      <c r="W464" s="177"/>
      <c r="X464" s="177"/>
      <c r="Y464" s="177"/>
      <c r="Z464" s="177"/>
      <c r="AA464" s="177"/>
      <c r="AB464" s="177"/>
      <c r="AC464" s="177"/>
      <c r="AD464" s="177"/>
      <c r="AE464" s="177"/>
    </row>
    <row r="465" spans="1:31" ht="13.5" thickBot="1">
      <c r="A465" s="202"/>
      <c r="B465" s="202"/>
      <c r="C465" s="202"/>
      <c r="D465" s="202"/>
      <c r="E465" s="202"/>
      <c r="F465" s="202"/>
      <c r="G465" s="202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  <c r="R465" s="177"/>
      <c r="S465" s="177"/>
      <c r="T465" s="177"/>
      <c r="U465" s="177"/>
      <c r="V465" s="177"/>
      <c r="W465" s="177"/>
      <c r="X465" s="177"/>
      <c r="Y465" s="177"/>
      <c r="Z465" s="177"/>
      <c r="AA465" s="177"/>
      <c r="AB465" s="177"/>
      <c r="AC465" s="177"/>
      <c r="AD465" s="177"/>
      <c r="AE465" s="177"/>
    </row>
    <row r="466" spans="1:31" ht="13.5" thickBot="1">
      <c r="A466" s="202"/>
      <c r="B466" s="202"/>
      <c r="C466" s="202"/>
      <c r="D466" s="202"/>
      <c r="E466" s="202"/>
      <c r="F466" s="202"/>
      <c r="G466" s="202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  <c r="R466" s="177"/>
      <c r="S466" s="177"/>
      <c r="T466" s="177"/>
      <c r="U466" s="177"/>
      <c r="V466" s="177"/>
      <c r="W466" s="177"/>
      <c r="X466" s="177"/>
      <c r="Y466" s="177"/>
      <c r="Z466" s="177"/>
      <c r="AA466" s="177"/>
      <c r="AB466" s="177"/>
      <c r="AC466" s="177"/>
      <c r="AD466" s="177"/>
      <c r="AE466" s="177"/>
    </row>
    <row r="467" spans="1:31" ht="13.5" thickBot="1">
      <c r="A467" s="202"/>
      <c r="B467" s="202"/>
      <c r="C467" s="202"/>
      <c r="D467" s="202"/>
      <c r="E467" s="202"/>
      <c r="F467" s="202"/>
      <c r="G467" s="202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  <c r="R467" s="177"/>
      <c r="S467" s="177"/>
      <c r="T467" s="177"/>
      <c r="U467" s="177"/>
      <c r="V467" s="177"/>
      <c r="W467" s="177"/>
      <c r="X467" s="177"/>
      <c r="Y467" s="177"/>
      <c r="Z467" s="177"/>
      <c r="AA467" s="177"/>
      <c r="AB467" s="177"/>
      <c r="AC467" s="177"/>
      <c r="AD467" s="177"/>
      <c r="AE467" s="177"/>
    </row>
    <row r="468" spans="1:31" ht="13.5" thickBot="1">
      <c r="A468" s="202"/>
      <c r="B468" s="202"/>
      <c r="C468" s="202"/>
      <c r="D468" s="202"/>
      <c r="E468" s="202"/>
      <c r="F468" s="202"/>
      <c r="G468" s="202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  <c r="R468" s="177"/>
      <c r="S468" s="177"/>
      <c r="T468" s="177"/>
      <c r="U468" s="177"/>
      <c r="V468" s="177"/>
      <c r="W468" s="177"/>
      <c r="X468" s="177"/>
      <c r="Y468" s="177"/>
      <c r="Z468" s="177"/>
      <c r="AA468" s="177"/>
      <c r="AB468" s="177"/>
      <c r="AC468" s="177"/>
      <c r="AD468" s="177"/>
      <c r="AE468" s="177"/>
    </row>
    <row r="469" spans="1:31" ht="13.5" thickBot="1">
      <c r="A469" s="202"/>
      <c r="B469" s="202"/>
      <c r="C469" s="202"/>
      <c r="D469" s="202"/>
      <c r="E469" s="202"/>
      <c r="F469" s="202"/>
      <c r="G469" s="202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  <c r="R469" s="177"/>
      <c r="S469" s="177"/>
      <c r="T469" s="177"/>
      <c r="U469" s="177"/>
      <c r="V469" s="177"/>
      <c r="W469" s="177"/>
      <c r="X469" s="177"/>
      <c r="Y469" s="177"/>
      <c r="Z469" s="177"/>
      <c r="AA469" s="177"/>
      <c r="AB469" s="177"/>
      <c r="AC469" s="177"/>
      <c r="AD469" s="177"/>
      <c r="AE469" s="177"/>
    </row>
    <row r="470" spans="1:31" ht="13.5" thickBot="1">
      <c r="A470" s="202"/>
      <c r="B470" s="202"/>
      <c r="C470" s="202"/>
      <c r="D470" s="202"/>
      <c r="E470" s="202"/>
      <c r="F470" s="202"/>
      <c r="G470" s="202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</row>
    <row r="471" spans="1:31" ht="13.5" thickBot="1">
      <c r="A471" s="202"/>
      <c r="B471" s="202"/>
      <c r="C471" s="202"/>
      <c r="D471" s="202"/>
      <c r="E471" s="202"/>
      <c r="F471" s="202"/>
      <c r="G471" s="202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  <c r="R471" s="177"/>
      <c r="S471" s="177"/>
      <c r="T471" s="177"/>
      <c r="U471" s="177"/>
      <c r="V471" s="177"/>
      <c r="W471" s="177"/>
      <c r="X471" s="177"/>
      <c r="Y471" s="177"/>
      <c r="Z471" s="177"/>
      <c r="AA471" s="177"/>
      <c r="AB471" s="177"/>
      <c r="AC471" s="177"/>
      <c r="AD471" s="177"/>
      <c r="AE471" s="177"/>
    </row>
    <row r="472" spans="1:31" ht="13.5" thickBot="1">
      <c r="A472" s="202"/>
      <c r="B472" s="202"/>
      <c r="C472" s="202"/>
      <c r="D472" s="202"/>
      <c r="E472" s="202"/>
      <c r="F472" s="202"/>
      <c r="G472" s="202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  <c r="R472" s="177"/>
      <c r="S472" s="177"/>
      <c r="T472" s="177"/>
      <c r="U472" s="177"/>
      <c r="V472" s="177"/>
      <c r="W472" s="177"/>
      <c r="X472" s="177"/>
      <c r="Y472" s="177"/>
      <c r="Z472" s="177"/>
      <c r="AA472" s="177"/>
      <c r="AB472" s="177"/>
      <c r="AC472" s="177"/>
      <c r="AD472" s="177"/>
      <c r="AE472" s="177"/>
    </row>
    <row r="473" spans="1:31" ht="13.5" thickBot="1">
      <c r="A473" s="202"/>
      <c r="B473" s="202"/>
      <c r="C473" s="202"/>
      <c r="D473" s="202"/>
      <c r="E473" s="202"/>
      <c r="F473" s="202"/>
      <c r="G473" s="202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  <c r="R473" s="177"/>
      <c r="S473" s="177"/>
      <c r="T473" s="177"/>
      <c r="U473" s="177"/>
      <c r="V473" s="177"/>
      <c r="W473" s="177"/>
      <c r="X473" s="177"/>
      <c r="Y473" s="177"/>
      <c r="Z473" s="177"/>
      <c r="AA473" s="177"/>
      <c r="AB473" s="177"/>
      <c r="AC473" s="177"/>
      <c r="AD473" s="177"/>
      <c r="AE473" s="177"/>
    </row>
    <row r="474" spans="1:31" ht="13.5" thickBot="1">
      <c r="A474" s="202"/>
      <c r="B474" s="202"/>
      <c r="C474" s="202"/>
      <c r="D474" s="202"/>
      <c r="E474" s="202"/>
      <c r="F474" s="202"/>
      <c r="G474" s="202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  <c r="R474" s="177"/>
      <c r="S474" s="177"/>
      <c r="T474" s="177"/>
      <c r="U474" s="177"/>
      <c r="V474" s="177"/>
      <c r="W474" s="177"/>
      <c r="X474" s="177"/>
      <c r="Y474" s="177"/>
      <c r="Z474" s="177"/>
      <c r="AA474" s="177"/>
      <c r="AB474" s="177"/>
      <c r="AC474" s="177"/>
      <c r="AD474" s="177"/>
      <c r="AE474" s="177"/>
    </row>
    <row r="475" spans="1:31" ht="13.5" thickBot="1">
      <c r="A475" s="202"/>
      <c r="B475" s="202"/>
      <c r="C475" s="202"/>
      <c r="D475" s="202"/>
      <c r="E475" s="202"/>
      <c r="F475" s="202"/>
      <c r="G475" s="202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  <c r="R475" s="177"/>
      <c r="S475" s="177"/>
      <c r="T475" s="177"/>
      <c r="U475" s="177"/>
      <c r="V475" s="177"/>
      <c r="W475" s="177"/>
      <c r="X475" s="177"/>
      <c r="Y475" s="177"/>
      <c r="Z475" s="177"/>
      <c r="AA475" s="177"/>
      <c r="AB475" s="177"/>
      <c r="AC475" s="177"/>
      <c r="AD475" s="177"/>
      <c r="AE475" s="177"/>
    </row>
    <row r="476" spans="1:31" ht="13.5" thickBot="1">
      <c r="A476" s="202"/>
      <c r="B476" s="202"/>
      <c r="C476" s="202"/>
      <c r="D476" s="202"/>
      <c r="E476" s="202"/>
      <c r="F476" s="202"/>
      <c r="G476" s="202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  <c r="R476" s="177"/>
      <c r="S476" s="177"/>
      <c r="T476" s="177"/>
      <c r="U476" s="177"/>
      <c r="V476" s="177"/>
      <c r="W476" s="177"/>
      <c r="X476" s="177"/>
      <c r="Y476" s="177"/>
      <c r="Z476" s="177"/>
      <c r="AA476" s="177"/>
      <c r="AB476" s="177"/>
      <c r="AC476" s="177"/>
      <c r="AD476" s="177"/>
      <c r="AE476" s="177"/>
    </row>
    <row r="477" spans="1:31" ht="13.5" thickBot="1">
      <c r="A477" s="202"/>
      <c r="B477" s="202"/>
      <c r="C477" s="202"/>
      <c r="D477" s="202"/>
      <c r="E477" s="202"/>
      <c r="F477" s="202"/>
      <c r="G477" s="202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  <c r="R477" s="177"/>
      <c r="S477" s="177"/>
      <c r="T477" s="177"/>
      <c r="U477" s="177"/>
      <c r="V477" s="177"/>
      <c r="W477" s="177"/>
      <c r="X477" s="177"/>
      <c r="Y477" s="177"/>
      <c r="Z477" s="177"/>
      <c r="AA477" s="177"/>
      <c r="AB477" s="177"/>
      <c r="AC477" s="177"/>
      <c r="AD477" s="177"/>
      <c r="AE477" s="177"/>
    </row>
    <row r="478" spans="1:31" ht="13.5" thickBot="1">
      <c r="A478" s="202"/>
      <c r="B478" s="202"/>
      <c r="C478" s="202"/>
      <c r="D478" s="202"/>
      <c r="E478" s="202"/>
      <c r="F478" s="202"/>
      <c r="G478" s="202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  <c r="R478" s="177"/>
      <c r="S478" s="177"/>
      <c r="T478" s="177"/>
      <c r="U478" s="177"/>
      <c r="V478" s="177"/>
      <c r="W478" s="177"/>
      <c r="X478" s="177"/>
      <c r="Y478" s="177"/>
      <c r="Z478" s="177"/>
      <c r="AA478" s="177"/>
      <c r="AB478" s="177"/>
      <c r="AC478" s="177"/>
      <c r="AD478" s="177"/>
      <c r="AE478" s="177"/>
    </row>
    <row r="479" spans="1:31" ht="13.5" thickBot="1">
      <c r="A479" s="202"/>
      <c r="B479" s="202"/>
      <c r="C479" s="202"/>
      <c r="D479" s="202"/>
      <c r="E479" s="202"/>
      <c r="F479" s="202"/>
      <c r="G479" s="202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  <c r="R479" s="177"/>
      <c r="S479" s="177"/>
      <c r="T479" s="177"/>
      <c r="U479" s="177"/>
      <c r="V479" s="177"/>
      <c r="W479" s="177"/>
      <c r="X479" s="177"/>
      <c r="Y479" s="177"/>
      <c r="Z479" s="177"/>
      <c r="AA479" s="177"/>
      <c r="AB479" s="177"/>
      <c r="AC479" s="177"/>
      <c r="AD479" s="177"/>
      <c r="AE479" s="177"/>
    </row>
    <row r="480" spans="1:31" ht="13.5" thickBot="1">
      <c r="A480" s="202"/>
      <c r="B480" s="202"/>
      <c r="C480" s="202"/>
      <c r="D480" s="202"/>
      <c r="E480" s="202"/>
      <c r="F480" s="202"/>
      <c r="G480" s="202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  <c r="R480" s="177"/>
      <c r="S480" s="177"/>
      <c r="T480" s="177"/>
      <c r="U480" s="177"/>
      <c r="V480" s="177"/>
      <c r="W480" s="177"/>
      <c r="X480" s="177"/>
      <c r="Y480" s="177"/>
      <c r="Z480" s="177"/>
      <c r="AA480" s="177"/>
      <c r="AB480" s="177"/>
      <c r="AC480" s="177"/>
      <c r="AD480" s="177"/>
      <c r="AE480" s="177"/>
    </row>
    <row r="481" spans="1:31" ht="13.5" thickBot="1">
      <c r="A481" s="202"/>
      <c r="B481" s="202"/>
      <c r="C481" s="202"/>
      <c r="D481" s="202"/>
      <c r="E481" s="202"/>
      <c r="F481" s="202"/>
      <c r="G481" s="202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  <c r="R481" s="177"/>
      <c r="S481" s="177"/>
      <c r="T481" s="177"/>
      <c r="U481" s="177"/>
      <c r="V481" s="177"/>
      <c r="W481" s="177"/>
      <c r="X481" s="177"/>
      <c r="Y481" s="177"/>
      <c r="Z481" s="177"/>
      <c r="AA481" s="177"/>
      <c r="AB481" s="177"/>
      <c r="AC481" s="177"/>
      <c r="AD481" s="177"/>
      <c r="AE481" s="177"/>
    </row>
    <row r="482" spans="1:31" ht="13.5" thickBot="1">
      <c r="A482" s="202"/>
      <c r="B482" s="202"/>
      <c r="C482" s="202"/>
      <c r="D482" s="202"/>
      <c r="E482" s="202"/>
      <c r="F482" s="202"/>
      <c r="G482" s="202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  <c r="R482" s="177"/>
      <c r="S482" s="177"/>
      <c r="T482" s="177"/>
      <c r="U482" s="177"/>
      <c r="V482" s="177"/>
      <c r="W482" s="177"/>
      <c r="X482" s="177"/>
      <c r="Y482" s="177"/>
      <c r="Z482" s="177"/>
      <c r="AA482" s="177"/>
      <c r="AB482" s="177"/>
      <c r="AC482" s="177"/>
      <c r="AD482" s="177"/>
      <c r="AE482" s="177"/>
    </row>
    <row r="483" spans="1:31" ht="13.5" thickBot="1">
      <c r="A483" s="202"/>
      <c r="B483" s="202"/>
      <c r="C483" s="202"/>
      <c r="D483" s="202"/>
      <c r="E483" s="202"/>
      <c r="F483" s="202"/>
      <c r="G483" s="202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  <c r="R483" s="177"/>
      <c r="S483" s="177"/>
      <c r="T483" s="177"/>
      <c r="U483" s="177"/>
      <c r="V483" s="177"/>
      <c r="W483" s="177"/>
      <c r="X483" s="177"/>
      <c r="Y483" s="177"/>
      <c r="Z483" s="177"/>
      <c r="AA483" s="177"/>
      <c r="AB483" s="177"/>
      <c r="AC483" s="177"/>
      <c r="AD483" s="177"/>
      <c r="AE483" s="177"/>
    </row>
    <row r="484" spans="1:31" ht="13.5" thickBot="1">
      <c r="A484" s="202"/>
      <c r="B484" s="202"/>
      <c r="C484" s="202"/>
      <c r="D484" s="202"/>
      <c r="E484" s="202"/>
      <c r="F484" s="202"/>
      <c r="G484" s="202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  <c r="R484" s="177"/>
      <c r="S484" s="177"/>
      <c r="T484" s="177"/>
      <c r="U484" s="177"/>
      <c r="V484" s="177"/>
      <c r="W484" s="177"/>
      <c r="X484" s="177"/>
      <c r="Y484" s="177"/>
      <c r="Z484" s="177"/>
      <c r="AA484" s="177"/>
      <c r="AB484" s="177"/>
      <c r="AC484" s="177"/>
      <c r="AD484" s="177"/>
      <c r="AE484" s="177"/>
    </row>
    <row r="485" spans="1:31" ht="13.5" thickBot="1">
      <c r="A485" s="202"/>
      <c r="B485" s="202"/>
      <c r="C485" s="202"/>
      <c r="D485" s="202"/>
      <c r="E485" s="202"/>
      <c r="F485" s="202"/>
      <c r="G485" s="202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  <c r="R485" s="177"/>
      <c r="S485" s="177"/>
      <c r="T485" s="177"/>
      <c r="U485" s="177"/>
      <c r="V485" s="177"/>
      <c r="W485" s="177"/>
      <c r="X485" s="177"/>
      <c r="Y485" s="177"/>
      <c r="Z485" s="177"/>
      <c r="AA485" s="177"/>
      <c r="AB485" s="177"/>
      <c r="AC485" s="177"/>
      <c r="AD485" s="177"/>
      <c r="AE485" s="177"/>
    </row>
    <row r="486" spans="1:31" ht="13.5" thickBot="1">
      <c r="A486" s="202"/>
      <c r="B486" s="202"/>
      <c r="C486" s="202"/>
      <c r="D486" s="202"/>
      <c r="E486" s="202"/>
      <c r="F486" s="202"/>
      <c r="G486" s="202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  <c r="R486" s="177"/>
      <c r="S486" s="177"/>
      <c r="T486" s="177"/>
      <c r="U486" s="177"/>
      <c r="V486" s="177"/>
      <c r="W486" s="177"/>
      <c r="X486" s="177"/>
      <c r="Y486" s="177"/>
      <c r="Z486" s="177"/>
      <c r="AA486" s="177"/>
      <c r="AB486" s="177"/>
      <c r="AC486" s="177"/>
      <c r="AD486" s="177"/>
      <c r="AE486" s="177"/>
    </row>
    <row r="487" spans="1:31" ht="13.5" thickBot="1">
      <c r="A487" s="202"/>
      <c r="B487" s="202"/>
      <c r="C487" s="202"/>
      <c r="D487" s="202"/>
      <c r="E487" s="202"/>
      <c r="F487" s="202"/>
      <c r="G487" s="202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  <c r="R487" s="177"/>
      <c r="S487" s="177"/>
      <c r="T487" s="177"/>
      <c r="U487" s="177"/>
      <c r="V487" s="177"/>
      <c r="W487" s="177"/>
      <c r="X487" s="177"/>
      <c r="Y487" s="177"/>
      <c r="Z487" s="177"/>
      <c r="AA487" s="177"/>
      <c r="AB487" s="177"/>
      <c r="AC487" s="177"/>
      <c r="AD487" s="177"/>
      <c r="AE487" s="177"/>
    </row>
    <row r="488" spans="1:31" ht="13.5" thickBot="1">
      <c r="A488" s="202"/>
      <c r="B488" s="202"/>
      <c r="C488" s="202"/>
      <c r="D488" s="202"/>
      <c r="E488" s="202"/>
      <c r="F488" s="202"/>
      <c r="G488" s="202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  <c r="R488" s="177"/>
      <c r="S488" s="177"/>
      <c r="T488" s="177"/>
      <c r="U488" s="177"/>
      <c r="V488" s="177"/>
      <c r="W488" s="177"/>
      <c r="X488" s="177"/>
      <c r="Y488" s="177"/>
      <c r="Z488" s="177"/>
      <c r="AA488" s="177"/>
      <c r="AB488" s="177"/>
      <c r="AC488" s="177"/>
      <c r="AD488" s="177"/>
      <c r="AE488" s="177"/>
    </row>
    <row r="489" spans="1:31" ht="13.5" thickBot="1">
      <c r="A489" s="202"/>
      <c r="B489" s="202"/>
      <c r="C489" s="202"/>
      <c r="D489" s="202"/>
      <c r="E489" s="202"/>
      <c r="F489" s="202"/>
      <c r="G489" s="202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  <c r="R489" s="177"/>
      <c r="S489" s="177"/>
      <c r="T489" s="177"/>
      <c r="U489" s="177"/>
      <c r="V489" s="177"/>
      <c r="W489" s="177"/>
      <c r="X489" s="177"/>
      <c r="Y489" s="177"/>
      <c r="Z489" s="177"/>
      <c r="AA489" s="177"/>
      <c r="AB489" s="177"/>
      <c r="AC489" s="177"/>
      <c r="AD489" s="177"/>
      <c r="AE489" s="177"/>
    </row>
    <row r="490" spans="1:31" ht="13.5" thickBot="1">
      <c r="A490" s="202"/>
      <c r="B490" s="202"/>
      <c r="C490" s="202"/>
      <c r="D490" s="202"/>
      <c r="E490" s="202"/>
      <c r="F490" s="202"/>
      <c r="G490" s="202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  <c r="R490" s="177"/>
      <c r="S490" s="177"/>
      <c r="T490" s="177"/>
      <c r="U490" s="177"/>
      <c r="V490" s="177"/>
      <c r="W490" s="177"/>
      <c r="X490" s="177"/>
      <c r="Y490" s="177"/>
      <c r="Z490" s="177"/>
      <c r="AA490" s="177"/>
      <c r="AB490" s="177"/>
      <c r="AC490" s="177"/>
      <c r="AD490" s="177"/>
      <c r="AE490" s="177"/>
    </row>
    <row r="491" spans="1:31" ht="13.5" thickBot="1">
      <c r="A491" s="202"/>
      <c r="B491" s="202"/>
      <c r="C491" s="202"/>
      <c r="D491" s="202"/>
      <c r="E491" s="202"/>
      <c r="F491" s="202"/>
      <c r="G491" s="202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  <c r="R491" s="177"/>
      <c r="S491" s="177"/>
      <c r="T491" s="177"/>
      <c r="U491" s="177"/>
      <c r="V491" s="177"/>
      <c r="W491" s="177"/>
      <c r="X491" s="177"/>
      <c r="Y491" s="177"/>
      <c r="Z491" s="177"/>
      <c r="AA491" s="177"/>
      <c r="AB491" s="177"/>
      <c r="AC491" s="177"/>
      <c r="AD491" s="177"/>
      <c r="AE491" s="177"/>
    </row>
    <row r="492" spans="1:31" ht="13.5" thickBot="1">
      <c r="A492" s="202"/>
      <c r="B492" s="202"/>
      <c r="C492" s="202"/>
      <c r="D492" s="202"/>
      <c r="E492" s="202"/>
      <c r="F492" s="202"/>
      <c r="G492" s="202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  <c r="R492" s="177"/>
      <c r="S492" s="177"/>
      <c r="T492" s="177"/>
      <c r="U492" s="177"/>
      <c r="V492" s="177"/>
      <c r="W492" s="177"/>
      <c r="X492" s="177"/>
      <c r="Y492" s="177"/>
      <c r="Z492" s="177"/>
      <c r="AA492" s="177"/>
      <c r="AB492" s="177"/>
      <c r="AC492" s="177"/>
      <c r="AD492" s="177"/>
      <c r="AE492" s="177"/>
    </row>
    <row r="493" spans="1:31" ht="13.5" thickBot="1">
      <c r="A493" s="202"/>
      <c r="B493" s="202"/>
      <c r="C493" s="202"/>
      <c r="D493" s="202"/>
      <c r="E493" s="202"/>
      <c r="F493" s="202"/>
      <c r="G493" s="202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  <c r="R493" s="177"/>
      <c r="S493" s="177"/>
      <c r="T493" s="177"/>
      <c r="U493" s="177"/>
      <c r="V493" s="177"/>
      <c r="W493" s="177"/>
      <c r="X493" s="177"/>
      <c r="Y493" s="177"/>
      <c r="Z493" s="177"/>
      <c r="AA493" s="177"/>
      <c r="AB493" s="177"/>
      <c r="AC493" s="177"/>
      <c r="AD493" s="177"/>
      <c r="AE493" s="177"/>
    </row>
    <row r="494" spans="1:31" ht="13.5" thickBot="1">
      <c r="A494" s="202"/>
      <c r="B494" s="202"/>
      <c r="C494" s="202"/>
      <c r="D494" s="202"/>
      <c r="E494" s="202"/>
      <c r="F494" s="202"/>
      <c r="G494" s="202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  <c r="R494" s="177"/>
      <c r="S494" s="177"/>
      <c r="T494" s="177"/>
      <c r="U494" s="177"/>
      <c r="V494" s="177"/>
      <c r="W494" s="177"/>
      <c r="X494" s="177"/>
      <c r="Y494" s="177"/>
      <c r="Z494" s="177"/>
      <c r="AA494" s="177"/>
      <c r="AB494" s="177"/>
      <c r="AC494" s="177"/>
      <c r="AD494" s="177"/>
      <c r="AE494" s="177"/>
    </row>
    <row r="495" spans="1:31" ht="13.5" thickBot="1">
      <c r="A495" s="202"/>
      <c r="B495" s="202"/>
      <c r="C495" s="202"/>
      <c r="D495" s="202"/>
      <c r="E495" s="202"/>
      <c r="F495" s="202"/>
      <c r="G495" s="202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  <c r="R495" s="177"/>
      <c r="S495" s="177"/>
      <c r="T495" s="177"/>
      <c r="U495" s="177"/>
      <c r="V495" s="177"/>
      <c r="W495" s="177"/>
      <c r="X495" s="177"/>
      <c r="Y495" s="177"/>
      <c r="Z495" s="177"/>
      <c r="AA495" s="177"/>
      <c r="AB495" s="177"/>
      <c r="AC495" s="177"/>
      <c r="AD495" s="177"/>
      <c r="AE495" s="177"/>
    </row>
    <row r="496" spans="1:31" ht="13.5" thickBot="1">
      <c r="A496" s="202"/>
      <c r="B496" s="202"/>
      <c r="C496" s="202"/>
      <c r="D496" s="202"/>
      <c r="E496" s="202"/>
      <c r="F496" s="202"/>
      <c r="G496" s="202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  <c r="R496" s="177"/>
      <c r="S496" s="177"/>
      <c r="T496" s="177"/>
      <c r="U496" s="177"/>
      <c r="V496" s="177"/>
      <c r="W496" s="177"/>
      <c r="X496" s="177"/>
      <c r="Y496" s="177"/>
      <c r="Z496" s="177"/>
      <c r="AA496" s="177"/>
      <c r="AB496" s="177"/>
      <c r="AC496" s="177"/>
      <c r="AD496" s="177"/>
      <c r="AE496" s="177"/>
    </row>
    <row r="497" spans="1:31" ht="13.5" thickBot="1">
      <c r="A497" s="202"/>
      <c r="B497" s="202"/>
      <c r="C497" s="202"/>
      <c r="D497" s="202"/>
      <c r="E497" s="202"/>
      <c r="F497" s="202"/>
      <c r="G497" s="202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  <c r="R497" s="177"/>
      <c r="S497" s="177"/>
      <c r="T497" s="177"/>
      <c r="U497" s="177"/>
      <c r="V497" s="177"/>
      <c r="W497" s="177"/>
      <c r="X497" s="177"/>
      <c r="Y497" s="177"/>
      <c r="Z497" s="177"/>
      <c r="AA497" s="177"/>
      <c r="AB497" s="177"/>
      <c r="AC497" s="177"/>
      <c r="AD497" s="177"/>
      <c r="AE497" s="177"/>
    </row>
    <row r="498" spans="1:31" ht="13.5" thickBot="1">
      <c r="A498" s="202"/>
      <c r="B498" s="202"/>
      <c r="C498" s="202"/>
      <c r="D498" s="202"/>
      <c r="E498" s="202"/>
      <c r="F498" s="202"/>
      <c r="G498" s="202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  <c r="R498" s="177"/>
      <c r="S498" s="177"/>
      <c r="T498" s="177"/>
      <c r="U498" s="177"/>
      <c r="V498" s="177"/>
      <c r="W498" s="177"/>
      <c r="X498" s="177"/>
      <c r="Y498" s="177"/>
      <c r="Z498" s="177"/>
      <c r="AA498" s="177"/>
      <c r="AB498" s="177"/>
      <c r="AC498" s="177"/>
      <c r="AD498" s="177"/>
      <c r="AE498" s="177"/>
    </row>
    <row r="499" spans="1:31" ht="13.5" thickBot="1">
      <c r="A499" s="202"/>
      <c r="B499" s="202"/>
      <c r="C499" s="202"/>
      <c r="D499" s="202"/>
      <c r="E499" s="202"/>
      <c r="F499" s="202"/>
      <c r="G499" s="202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  <c r="R499" s="177"/>
      <c r="S499" s="177"/>
      <c r="T499" s="177"/>
      <c r="U499" s="177"/>
      <c r="V499" s="177"/>
      <c r="W499" s="177"/>
      <c r="X499" s="177"/>
      <c r="Y499" s="177"/>
      <c r="Z499" s="177"/>
      <c r="AA499" s="177"/>
      <c r="AB499" s="177"/>
      <c r="AC499" s="177"/>
      <c r="AD499" s="177"/>
      <c r="AE499" s="177"/>
    </row>
    <row r="500" spans="1:31" ht="13.5" thickBot="1">
      <c r="A500" s="202"/>
      <c r="B500" s="202"/>
      <c r="C500" s="202"/>
      <c r="D500" s="202"/>
      <c r="E500" s="202"/>
      <c r="F500" s="202"/>
      <c r="G500" s="202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  <c r="R500" s="177"/>
      <c r="S500" s="177"/>
      <c r="T500" s="177"/>
      <c r="U500" s="177"/>
      <c r="V500" s="177"/>
      <c r="W500" s="177"/>
      <c r="X500" s="177"/>
      <c r="Y500" s="177"/>
      <c r="Z500" s="177"/>
      <c r="AA500" s="177"/>
      <c r="AB500" s="177"/>
      <c r="AC500" s="177"/>
      <c r="AD500" s="177"/>
      <c r="AE500" s="177"/>
    </row>
    <row r="501" spans="1:31" ht="13.5" thickBot="1">
      <c r="A501" s="202"/>
      <c r="B501" s="202"/>
      <c r="C501" s="202"/>
      <c r="D501" s="202"/>
      <c r="E501" s="202"/>
      <c r="F501" s="202"/>
      <c r="G501" s="202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  <c r="R501" s="177"/>
      <c r="S501" s="177"/>
      <c r="T501" s="177"/>
      <c r="U501" s="177"/>
      <c r="V501" s="177"/>
      <c r="W501" s="177"/>
      <c r="X501" s="177"/>
      <c r="Y501" s="177"/>
      <c r="Z501" s="177"/>
      <c r="AA501" s="177"/>
      <c r="AB501" s="177"/>
      <c r="AC501" s="177"/>
      <c r="AD501" s="177"/>
      <c r="AE501" s="177"/>
    </row>
    <row r="502" spans="1:31" ht="13.5" thickBot="1">
      <c r="A502" s="202"/>
      <c r="B502" s="202"/>
      <c r="C502" s="202"/>
      <c r="D502" s="202"/>
      <c r="E502" s="202"/>
      <c r="F502" s="202"/>
      <c r="G502" s="202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  <c r="R502" s="177"/>
      <c r="S502" s="177"/>
      <c r="T502" s="177"/>
      <c r="U502" s="177"/>
      <c r="V502" s="177"/>
      <c r="W502" s="177"/>
      <c r="X502" s="177"/>
      <c r="Y502" s="177"/>
      <c r="Z502" s="177"/>
      <c r="AA502" s="177"/>
      <c r="AB502" s="177"/>
      <c r="AC502" s="177"/>
      <c r="AD502" s="177"/>
      <c r="AE502" s="177"/>
    </row>
    <row r="503" spans="1:31" ht="13.5" thickBot="1">
      <c r="A503" s="202"/>
      <c r="B503" s="202"/>
      <c r="C503" s="202"/>
      <c r="D503" s="202"/>
      <c r="E503" s="202"/>
      <c r="F503" s="202"/>
      <c r="G503" s="202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  <c r="R503" s="177"/>
      <c r="S503" s="177"/>
      <c r="T503" s="177"/>
      <c r="U503" s="177"/>
      <c r="V503" s="177"/>
      <c r="W503" s="177"/>
      <c r="X503" s="177"/>
      <c r="Y503" s="177"/>
      <c r="Z503" s="177"/>
      <c r="AA503" s="177"/>
      <c r="AB503" s="177"/>
      <c r="AC503" s="177"/>
      <c r="AD503" s="177"/>
      <c r="AE503" s="177"/>
    </row>
    <row r="504" spans="1:31" ht="13.5" thickBot="1">
      <c r="A504" s="202"/>
      <c r="B504" s="202"/>
      <c r="C504" s="202"/>
      <c r="D504" s="202"/>
      <c r="E504" s="202"/>
      <c r="F504" s="202"/>
      <c r="G504" s="202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  <c r="R504" s="177"/>
      <c r="S504" s="177"/>
      <c r="T504" s="177"/>
      <c r="U504" s="177"/>
      <c r="V504" s="177"/>
      <c r="W504" s="177"/>
      <c r="X504" s="177"/>
      <c r="Y504" s="177"/>
      <c r="Z504" s="177"/>
      <c r="AA504" s="177"/>
      <c r="AB504" s="177"/>
      <c r="AC504" s="177"/>
      <c r="AD504" s="177"/>
      <c r="AE504" s="177"/>
    </row>
    <row r="505" spans="1:31" ht="13.5" thickBot="1">
      <c r="A505" s="202"/>
      <c r="B505" s="202"/>
      <c r="C505" s="202"/>
      <c r="D505" s="202"/>
      <c r="E505" s="202"/>
      <c r="F505" s="202"/>
      <c r="G505" s="202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  <c r="R505" s="177"/>
      <c r="S505" s="177"/>
      <c r="T505" s="177"/>
      <c r="U505" s="177"/>
      <c r="V505" s="177"/>
      <c r="W505" s="177"/>
      <c r="X505" s="177"/>
      <c r="Y505" s="177"/>
      <c r="Z505" s="177"/>
      <c r="AA505" s="177"/>
      <c r="AB505" s="177"/>
      <c r="AC505" s="177"/>
      <c r="AD505" s="177"/>
      <c r="AE505" s="177"/>
    </row>
    <row r="506" spans="1:31" ht="13.5" thickBot="1">
      <c r="A506" s="202"/>
      <c r="B506" s="202"/>
      <c r="C506" s="202"/>
      <c r="D506" s="202"/>
      <c r="E506" s="202"/>
      <c r="F506" s="202"/>
      <c r="G506" s="202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  <c r="R506" s="177"/>
      <c r="S506" s="177"/>
      <c r="T506" s="177"/>
      <c r="U506" s="177"/>
      <c r="V506" s="177"/>
      <c r="W506" s="177"/>
      <c r="X506" s="177"/>
      <c r="Y506" s="177"/>
      <c r="Z506" s="177"/>
      <c r="AA506" s="177"/>
      <c r="AB506" s="177"/>
      <c r="AC506" s="177"/>
      <c r="AD506" s="177"/>
      <c r="AE506" s="177"/>
    </row>
    <row r="507" spans="1:31" ht="13.5" thickBot="1">
      <c r="A507" s="202"/>
      <c r="B507" s="202"/>
      <c r="C507" s="202"/>
      <c r="D507" s="202"/>
      <c r="E507" s="202"/>
      <c r="F507" s="202"/>
      <c r="G507" s="202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  <c r="R507" s="177"/>
      <c r="S507" s="177"/>
      <c r="T507" s="177"/>
      <c r="U507" s="177"/>
      <c r="V507" s="177"/>
      <c r="W507" s="177"/>
      <c r="X507" s="177"/>
      <c r="Y507" s="177"/>
      <c r="Z507" s="177"/>
      <c r="AA507" s="177"/>
      <c r="AB507" s="177"/>
      <c r="AC507" s="177"/>
      <c r="AD507" s="177"/>
      <c r="AE507" s="177"/>
    </row>
    <row r="508" spans="1:31" ht="13.5" thickBot="1">
      <c r="A508" s="202"/>
      <c r="B508" s="202"/>
      <c r="C508" s="202"/>
      <c r="D508" s="202"/>
      <c r="E508" s="202"/>
      <c r="F508" s="202"/>
      <c r="G508" s="202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  <c r="R508" s="177"/>
      <c r="S508" s="177"/>
      <c r="T508" s="177"/>
      <c r="U508" s="177"/>
      <c r="V508" s="177"/>
      <c r="W508" s="177"/>
      <c r="X508" s="177"/>
      <c r="Y508" s="177"/>
      <c r="Z508" s="177"/>
      <c r="AA508" s="177"/>
      <c r="AB508" s="177"/>
      <c r="AC508" s="177"/>
      <c r="AD508" s="177"/>
      <c r="AE508" s="177"/>
    </row>
    <row r="509" spans="1:31" ht="13.5" thickBot="1">
      <c r="A509" s="202"/>
      <c r="B509" s="202"/>
      <c r="C509" s="202"/>
      <c r="D509" s="202"/>
      <c r="E509" s="202"/>
      <c r="F509" s="202"/>
      <c r="G509" s="202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  <c r="R509" s="177"/>
      <c r="S509" s="177"/>
      <c r="T509" s="177"/>
      <c r="U509" s="177"/>
      <c r="V509" s="177"/>
      <c r="W509" s="177"/>
      <c r="X509" s="177"/>
      <c r="Y509" s="177"/>
      <c r="Z509" s="177"/>
      <c r="AA509" s="177"/>
      <c r="AB509" s="177"/>
      <c r="AC509" s="177"/>
      <c r="AD509" s="177"/>
      <c r="AE509" s="177"/>
    </row>
    <row r="510" spans="1:31" ht="13.5" thickBot="1">
      <c r="A510" s="202"/>
      <c r="B510" s="202"/>
      <c r="C510" s="202"/>
      <c r="D510" s="202"/>
      <c r="E510" s="202"/>
      <c r="F510" s="202"/>
      <c r="G510" s="202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  <c r="R510" s="177"/>
      <c r="S510" s="177"/>
      <c r="T510" s="177"/>
      <c r="U510" s="177"/>
      <c r="V510" s="177"/>
      <c r="W510" s="177"/>
      <c r="X510" s="177"/>
      <c r="Y510" s="177"/>
      <c r="Z510" s="177"/>
      <c r="AA510" s="177"/>
      <c r="AB510" s="177"/>
      <c r="AC510" s="177"/>
      <c r="AD510" s="177"/>
      <c r="AE510" s="177"/>
    </row>
    <row r="511" spans="1:31" ht="13.5" thickBot="1">
      <c r="A511" s="202"/>
      <c r="B511" s="202"/>
      <c r="C511" s="202"/>
      <c r="D511" s="202"/>
      <c r="E511" s="202"/>
      <c r="F511" s="202"/>
      <c r="G511" s="202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  <c r="R511" s="177"/>
      <c r="S511" s="177"/>
      <c r="T511" s="177"/>
      <c r="U511" s="177"/>
      <c r="V511" s="177"/>
      <c r="W511" s="177"/>
      <c r="X511" s="177"/>
      <c r="Y511" s="177"/>
      <c r="Z511" s="177"/>
      <c r="AA511" s="177"/>
      <c r="AB511" s="177"/>
      <c r="AC511" s="177"/>
      <c r="AD511" s="177"/>
      <c r="AE511" s="177"/>
    </row>
    <row r="512" spans="1:31" ht="13.5" thickBot="1">
      <c r="A512" s="202"/>
      <c r="B512" s="202"/>
      <c r="C512" s="202"/>
      <c r="D512" s="202"/>
      <c r="E512" s="202"/>
      <c r="F512" s="202"/>
      <c r="G512" s="202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  <c r="R512" s="177"/>
      <c r="S512" s="177"/>
      <c r="T512" s="177"/>
      <c r="U512" s="177"/>
      <c r="V512" s="177"/>
      <c r="W512" s="177"/>
      <c r="X512" s="177"/>
      <c r="Y512" s="177"/>
      <c r="Z512" s="177"/>
      <c r="AA512" s="177"/>
      <c r="AB512" s="177"/>
      <c r="AC512" s="177"/>
      <c r="AD512" s="177"/>
      <c r="AE512" s="177"/>
    </row>
    <row r="513" spans="1:31" ht="13.5" thickBot="1">
      <c r="A513" s="202"/>
      <c r="B513" s="202"/>
      <c r="C513" s="202"/>
      <c r="D513" s="202"/>
      <c r="E513" s="202"/>
      <c r="F513" s="202"/>
      <c r="G513" s="202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  <c r="R513" s="177"/>
      <c r="S513" s="177"/>
      <c r="T513" s="177"/>
      <c r="U513" s="177"/>
      <c r="V513" s="177"/>
      <c r="W513" s="177"/>
      <c r="X513" s="177"/>
      <c r="Y513" s="177"/>
      <c r="Z513" s="177"/>
      <c r="AA513" s="177"/>
      <c r="AB513" s="177"/>
      <c r="AC513" s="177"/>
      <c r="AD513" s="177"/>
      <c r="AE513" s="177"/>
    </row>
    <row r="514" spans="1:31" ht="13.5" thickBot="1">
      <c r="A514" s="202"/>
      <c r="B514" s="202"/>
      <c r="C514" s="202"/>
      <c r="D514" s="202"/>
      <c r="E514" s="202"/>
      <c r="F514" s="202"/>
      <c r="G514" s="202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  <c r="R514" s="177"/>
      <c r="S514" s="177"/>
      <c r="T514" s="177"/>
      <c r="U514" s="177"/>
      <c r="V514" s="177"/>
      <c r="W514" s="177"/>
      <c r="X514" s="177"/>
      <c r="Y514" s="177"/>
      <c r="Z514" s="177"/>
      <c r="AA514" s="177"/>
      <c r="AB514" s="177"/>
      <c r="AC514" s="177"/>
      <c r="AD514" s="177"/>
      <c r="AE514" s="177"/>
    </row>
    <row r="515" spans="1:31" ht="13.5" thickBot="1">
      <c r="A515" s="202"/>
      <c r="B515" s="202"/>
      <c r="C515" s="202"/>
      <c r="D515" s="202"/>
      <c r="E515" s="202"/>
      <c r="F515" s="202"/>
      <c r="G515" s="202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  <c r="R515" s="177"/>
      <c r="S515" s="177"/>
      <c r="T515" s="177"/>
      <c r="U515" s="177"/>
      <c r="V515" s="177"/>
      <c r="W515" s="177"/>
      <c r="X515" s="177"/>
      <c r="Y515" s="177"/>
      <c r="Z515" s="177"/>
      <c r="AA515" s="177"/>
      <c r="AB515" s="177"/>
      <c r="AC515" s="177"/>
      <c r="AD515" s="177"/>
      <c r="AE515" s="177"/>
    </row>
    <row r="516" spans="1:31" ht="13.5" thickBot="1">
      <c r="A516" s="202"/>
      <c r="B516" s="202"/>
      <c r="C516" s="202"/>
      <c r="D516" s="202"/>
      <c r="E516" s="202"/>
      <c r="F516" s="202"/>
      <c r="G516" s="202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  <c r="R516" s="177"/>
      <c r="S516" s="177"/>
      <c r="T516" s="177"/>
      <c r="U516" s="177"/>
      <c r="V516" s="177"/>
      <c r="W516" s="177"/>
      <c r="X516" s="177"/>
      <c r="Y516" s="177"/>
      <c r="Z516" s="177"/>
      <c r="AA516" s="177"/>
      <c r="AB516" s="177"/>
      <c r="AC516" s="177"/>
      <c r="AD516" s="177"/>
      <c r="AE516" s="177"/>
    </row>
    <row r="517" spans="1:31" ht="13.5" thickBot="1">
      <c r="A517" s="202"/>
      <c r="B517" s="202"/>
      <c r="C517" s="202"/>
      <c r="D517" s="202"/>
      <c r="E517" s="202"/>
      <c r="F517" s="202"/>
      <c r="G517" s="202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  <c r="R517" s="177"/>
      <c r="S517" s="177"/>
      <c r="T517" s="177"/>
      <c r="U517" s="177"/>
      <c r="V517" s="177"/>
      <c r="W517" s="177"/>
      <c r="X517" s="177"/>
      <c r="Y517" s="177"/>
      <c r="Z517" s="177"/>
      <c r="AA517" s="177"/>
      <c r="AB517" s="177"/>
      <c r="AC517" s="177"/>
      <c r="AD517" s="177"/>
      <c r="AE517" s="177"/>
    </row>
    <row r="518" spans="1:31" ht="13.5" thickBot="1">
      <c r="A518" s="202"/>
      <c r="B518" s="202"/>
      <c r="C518" s="202"/>
      <c r="D518" s="202"/>
      <c r="E518" s="202"/>
      <c r="F518" s="202"/>
      <c r="G518" s="202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  <c r="R518" s="177"/>
      <c r="S518" s="177"/>
      <c r="T518" s="177"/>
      <c r="U518" s="177"/>
      <c r="V518" s="177"/>
      <c r="W518" s="177"/>
      <c r="X518" s="177"/>
      <c r="Y518" s="177"/>
      <c r="Z518" s="177"/>
      <c r="AA518" s="177"/>
      <c r="AB518" s="177"/>
      <c r="AC518" s="177"/>
      <c r="AD518" s="177"/>
      <c r="AE518" s="177"/>
    </row>
    <row r="519" spans="1:31" ht="13.5" thickBot="1">
      <c r="A519" s="202"/>
      <c r="B519" s="202"/>
      <c r="C519" s="202"/>
      <c r="D519" s="202"/>
      <c r="E519" s="202"/>
      <c r="F519" s="202"/>
      <c r="G519" s="202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  <c r="R519" s="177"/>
      <c r="S519" s="177"/>
      <c r="T519" s="177"/>
      <c r="U519" s="177"/>
      <c r="V519" s="177"/>
      <c r="W519" s="177"/>
      <c r="X519" s="177"/>
      <c r="Y519" s="177"/>
      <c r="Z519" s="177"/>
      <c r="AA519" s="177"/>
      <c r="AB519" s="177"/>
      <c r="AC519" s="177"/>
      <c r="AD519" s="177"/>
      <c r="AE519" s="177"/>
    </row>
    <row r="520" spans="1:31" ht="13.5" thickBot="1">
      <c r="A520" s="202"/>
      <c r="B520" s="202"/>
      <c r="C520" s="202"/>
      <c r="D520" s="202"/>
      <c r="E520" s="202"/>
      <c r="F520" s="202"/>
      <c r="G520" s="202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  <c r="R520" s="177"/>
      <c r="S520" s="177"/>
      <c r="T520" s="177"/>
      <c r="U520" s="177"/>
      <c r="V520" s="177"/>
      <c r="W520" s="177"/>
      <c r="X520" s="177"/>
      <c r="Y520" s="177"/>
      <c r="Z520" s="177"/>
      <c r="AA520" s="177"/>
      <c r="AB520" s="177"/>
      <c r="AC520" s="177"/>
      <c r="AD520" s="177"/>
      <c r="AE520" s="177"/>
    </row>
    <row r="521" spans="1:31" ht="13.5" thickBot="1">
      <c r="A521" s="202"/>
      <c r="B521" s="202"/>
      <c r="C521" s="202"/>
      <c r="D521" s="202"/>
      <c r="E521" s="202"/>
      <c r="F521" s="202"/>
      <c r="G521" s="202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  <c r="R521" s="177"/>
      <c r="S521" s="177"/>
      <c r="T521" s="177"/>
      <c r="U521" s="177"/>
      <c r="V521" s="177"/>
      <c r="W521" s="177"/>
      <c r="X521" s="177"/>
      <c r="Y521" s="177"/>
      <c r="Z521" s="177"/>
      <c r="AA521" s="177"/>
      <c r="AB521" s="177"/>
      <c r="AC521" s="177"/>
      <c r="AD521" s="177"/>
      <c r="AE521" s="177"/>
    </row>
    <row r="522" spans="1:31" ht="13.5" thickBot="1">
      <c r="A522" s="202"/>
      <c r="B522" s="202"/>
      <c r="C522" s="202"/>
      <c r="D522" s="202"/>
      <c r="E522" s="202"/>
      <c r="F522" s="202"/>
      <c r="G522" s="202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  <c r="R522" s="177"/>
      <c r="S522" s="177"/>
      <c r="T522" s="177"/>
      <c r="U522" s="177"/>
      <c r="V522" s="177"/>
      <c r="W522" s="177"/>
      <c r="X522" s="177"/>
      <c r="Y522" s="177"/>
      <c r="Z522" s="177"/>
      <c r="AA522" s="177"/>
      <c r="AB522" s="177"/>
      <c r="AC522" s="177"/>
      <c r="AD522" s="177"/>
      <c r="AE522" s="177"/>
    </row>
    <row r="523" spans="1:31" ht="13.5" thickBot="1">
      <c r="A523" s="202"/>
      <c r="B523" s="202"/>
      <c r="C523" s="202"/>
      <c r="D523" s="202"/>
      <c r="E523" s="202"/>
      <c r="F523" s="202"/>
      <c r="G523" s="202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  <c r="R523" s="177"/>
      <c r="S523" s="177"/>
      <c r="T523" s="177"/>
      <c r="U523" s="177"/>
      <c r="V523" s="177"/>
      <c r="W523" s="177"/>
      <c r="X523" s="177"/>
      <c r="Y523" s="177"/>
      <c r="Z523" s="177"/>
      <c r="AA523" s="177"/>
      <c r="AB523" s="177"/>
      <c r="AC523" s="177"/>
      <c r="AD523" s="177"/>
      <c r="AE523" s="177"/>
    </row>
    <row r="524" spans="1:31" ht="13.5" thickBot="1">
      <c r="A524" s="202"/>
      <c r="B524" s="202"/>
      <c r="C524" s="202"/>
      <c r="D524" s="202"/>
      <c r="E524" s="202"/>
      <c r="F524" s="202"/>
      <c r="G524" s="202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  <c r="R524" s="177"/>
      <c r="S524" s="177"/>
      <c r="T524" s="177"/>
      <c r="U524" s="177"/>
      <c r="V524" s="177"/>
      <c r="W524" s="177"/>
      <c r="X524" s="177"/>
      <c r="Y524" s="177"/>
      <c r="Z524" s="177"/>
      <c r="AA524" s="177"/>
      <c r="AB524" s="177"/>
      <c r="AC524" s="177"/>
      <c r="AD524" s="177"/>
      <c r="AE524" s="177"/>
    </row>
    <row r="525" spans="1:31" ht="13.5" thickBot="1">
      <c r="A525" s="202"/>
      <c r="B525" s="202"/>
      <c r="C525" s="202"/>
      <c r="D525" s="202"/>
      <c r="E525" s="202"/>
      <c r="F525" s="202"/>
      <c r="G525" s="202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  <c r="R525" s="177"/>
      <c r="S525" s="177"/>
      <c r="T525" s="177"/>
      <c r="U525" s="177"/>
      <c r="V525" s="177"/>
      <c r="W525" s="177"/>
      <c r="X525" s="177"/>
      <c r="Y525" s="177"/>
      <c r="Z525" s="177"/>
      <c r="AA525" s="177"/>
      <c r="AB525" s="177"/>
      <c r="AC525" s="177"/>
      <c r="AD525" s="177"/>
      <c r="AE525" s="177"/>
    </row>
    <row r="526" spans="1:31" ht="13.5" thickBot="1">
      <c r="A526" s="202"/>
      <c r="B526" s="202"/>
      <c r="C526" s="202"/>
      <c r="D526" s="202"/>
      <c r="E526" s="202"/>
      <c r="F526" s="202"/>
      <c r="G526" s="202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  <c r="R526" s="177"/>
      <c r="S526" s="177"/>
      <c r="T526" s="177"/>
      <c r="U526" s="177"/>
      <c r="V526" s="177"/>
      <c r="W526" s="177"/>
      <c r="X526" s="177"/>
      <c r="Y526" s="177"/>
      <c r="Z526" s="177"/>
      <c r="AA526" s="177"/>
      <c r="AB526" s="177"/>
      <c r="AC526" s="177"/>
      <c r="AD526" s="177"/>
      <c r="AE526" s="177"/>
    </row>
    <row r="527" spans="1:31" ht="13.5" thickBot="1">
      <c r="A527" s="202"/>
      <c r="B527" s="202"/>
      <c r="C527" s="202"/>
      <c r="D527" s="202"/>
      <c r="E527" s="202"/>
      <c r="F527" s="202"/>
      <c r="G527" s="202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  <c r="R527" s="177"/>
      <c r="S527" s="177"/>
      <c r="T527" s="177"/>
      <c r="U527" s="177"/>
      <c r="V527" s="177"/>
      <c r="W527" s="177"/>
      <c r="X527" s="177"/>
      <c r="Y527" s="177"/>
      <c r="Z527" s="177"/>
      <c r="AA527" s="177"/>
      <c r="AB527" s="177"/>
      <c r="AC527" s="177"/>
      <c r="AD527" s="177"/>
      <c r="AE527" s="177"/>
    </row>
    <row r="528" spans="1:31" ht="13.5" thickBot="1">
      <c r="A528" s="202"/>
      <c r="B528" s="202"/>
      <c r="C528" s="202"/>
      <c r="D528" s="202"/>
      <c r="E528" s="202"/>
      <c r="F528" s="202"/>
      <c r="G528" s="202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  <c r="R528" s="177"/>
      <c r="S528" s="177"/>
      <c r="T528" s="177"/>
      <c r="U528" s="177"/>
      <c r="V528" s="177"/>
      <c r="W528" s="177"/>
      <c r="X528" s="177"/>
      <c r="Y528" s="177"/>
      <c r="Z528" s="177"/>
      <c r="AA528" s="177"/>
      <c r="AB528" s="177"/>
      <c r="AC528" s="177"/>
      <c r="AD528" s="177"/>
      <c r="AE528" s="177"/>
    </row>
    <row r="529" spans="1:31" ht="13.5" thickBot="1">
      <c r="A529" s="202"/>
      <c r="B529" s="202"/>
      <c r="C529" s="202"/>
      <c r="D529" s="202"/>
      <c r="E529" s="202"/>
      <c r="F529" s="202"/>
      <c r="G529" s="202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  <c r="R529" s="177"/>
      <c r="S529" s="177"/>
      <c r="T529" s="177"/>
      <c r="U529" s="177"/>
      <c r="V529" s="177"/>
      <c r="W529" s="177"/>
      <c r="X529" s="177"/>
      <c r="Y529" s="177"/>
      <c r="Z529" s="177"/>
      <c r="AA529" s="177"/>
      <c r="AB529" s="177"/>
      <c r="AC529" s="177"/>
      <c r="AD529" s="177"/>
      <c r="AE529" s="177"/>
    </row>
    <row r="530" spans="1:31" ht="13.5" thickBot="1">
      <c r="A530" s="202"/>
      <c r="B530" s="202"/>
      <c r="C530" s="202"/>
      <c r="D530" s="202"/>
      <c r="E530" s="202"/>
      <c r="F530" s="202"/>
      <c r="G530" s="202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  <c r="R530" s="177"/>
      <c r="S530" s="177"/>
      <c r="T530" s="177"/>
      <c r="U530" s="177"/>
      <c r="V530" s="177"/>
      <c r="W530" s="177"/>
      <c r="X530" s="177"/>
      <c r="Y530" s="177"/>
      <c r="Z530" s="177"/>
      <c r="AA530" s="177"/>
      <c r="AB530" s="177"/>
      <c r="AC530" s="177"/>
      <c r="AD530" s="177"/>
      <c r="AE530" s="177"/>
    </row>
    <row r="531" spans="1:31" ht="13.5" thickBot="1">
      <c r="A531" s="202"/>
      <c r="B531" s="202"/>
      <c r="C531" s="202"/>
      <c r="D531" s="202"/>
      <c r="E531" s="202"/>
      <c r="F531" s="202"/>
      <c r="G531" s="202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  <c r="R531" s="177"/>
      <c r="S531" s="177"/>
      <c r="T531" s="177"/>
      <c r="U531" s="177"/>
      <c r="V531" s="177"/>
      <c r="W531" s="177"/>
      <c r="X531" s="177"/>
      <c r="Y531" s="177"/>
      <c r="Z531" s="177"/>
      <c r="AA531" s="177"/>
      <c r="AB531" s="177"/>
      <c r="AC531" s="177"/>
      <c r="AD531" s="177"/>
      <c r="AE531" s="177"/>
    </row>
    <row r="532" spans="1:31" ht="13.5" thickBot="1">
      <c r="A532" s="202"/>
      <c r="B532" s="202"/>
      <c r="C532" s="202"/>
      <c r="D532" s="202"/>
      <c r="E532" s="202"/>
      <c r="F532" s="202"/>
      <c r="G532" s="202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  <c r="R532" s="177"/>
      <c r="S532" s="177"/>
      <c r="T532" s="177"/>
      <c r="U532" s="177"/>
      <c r="V532" s="177"/>
      <c r="W532" s="177"/>
      <c r="X532" s="177"/>
      <c r="Y532" s="177"/>
      <c r="Z532" s="177"/>
      <c r="AA532" s="177"/>
      <c r="AB532" s="177"/>
      <c r="AC532" s="177"/>
      <c r="AD532" s="177"/>
      <c r="AE532" s="177"/>
    </row>
    <row r="533" spans="1:31" ht="13.5" thickBot="1">
      <c r="A533" s="202"/>
      <c r="B533" s="202"/>
      <c r="C533" s="202"/>
      <c r="D533" s="202"/>
      <c r="E533" s="202"/>
      <c r="F533" s="202"/>
      <c r="G533" s="202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  <c r="R533" s="177"/>
      <c r="S533" s="177"/>
      <c r="T533" s="177"/>
      <c r="U533" s="177"/>
      <c r="V533" s="177"/>
      <c r="W533" s="177"/>
      <c r="X533" s="177"/>
      <c r="Y533" s="177"/>
      <c r="Z533" s="177"/>
      <c r="AA533" s="177"/>
      <c r="AB533" s="177"/>
      <c r="AC533" s="177"/>
      <c r="AD533" s="177"/>
      <c r="AE533" s="177"/>
    </row>
    <row r="534" spans="1:31" ht="13.5" thickBot="1">
      <c r="A534" s="202"/>
      <c r="B534" s="202"/>
      <c r="C534" s="202"/>
      <c r="D534" s="202"/>
      <c r="E534" s="202"/>
      <c r="F534" s="202"/>
      <c r="G534" s="202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  <c r="R534" s="177"/>
      <c r="S534" s="177"/>
      <c r="T534" s="177"/>
      <c r="U534" s="177"/>
      <c r="V534" s="177"/>
      <c r="W534" s="177"/>
      <c r="X534" s="177"/>
      <c r="Y534" s="177"/>
      <c r="Z534" s="177"/>
      <c r="AA534" s="177"/>
      <c r="AB534" s="177"/>
      <c r="AC534" s="177"/>
      <c r="AD534" s="177"/>
      <c r="AE534" s="177"/>
    </row>
    <row r="535" spans="1:31" ht="13.5" thickBot="1">
      <c r="A535" s="202"/>
      <c r="B535" s="202"/>
      <c r="C535" s="202"/>
      <c r="D535" s="202"/>
      <c r="E535" s="202"/>
      <c r="F535" s="202"/>
      <c r="G535" s="202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  <c r="R535" s="177"/>
      <c r="S535" s="177"/>
      <c r="T535" s="177"/>
      <c r="U535" s="177"/>
      <c r="V535" s="177"/>
      <c r="W535" s="177"/>
      <c r="X535" s="177"/>
      <c r="Y535" s="177"/>
      <c r="Z535" s="177"/>
      <c r="AA535" s="177"/>
      <c r="AB535" s="177"/>
      <c r="AC535" s="177"/>
      <c r="AD535" s="177"/>
      <c r="AE535" s="177"/>
    </row>
    <row r="536" spans="1:31" ht="13.5" thickBot="1">
      <c r="A536" s="202"/>
      <c r="B536" s="202"/>
      <c r="C536" s="202"/>
      <c r="D536" s="202"/>
      <c r="E536" s="202"/>
      <c r="F536" s="202"/>
      <c r="G536" s="202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  <c r="R536" s="177"/>
      <c r="S536" s="177"/>
      <c r="T536" s="177"/>
      <c r="U536" s="177"/>
      <c r="V536" s="177"/>
      <c r="W536" s="177"/>
      <c r="X536" s="177"/>
      <c r="Y536" s="177"/>
      <c r="Z536" s="177"/>
      <c r="AA536" s="177"/>
      <c r="AB536" s="177"/>
      <c r="AC536" s="177"/>
      <c r="AD536" s="177"/>
      <c r="AE536" s="177"/>
    </row>
    <row r="537" spans="1:31" ht="13.5" thickBot="1">
      <c r="A537" s="202"/>
      <c r="B537" s="202"/>
      <c r="C537" s="202"/>
      <c r="D537" s="202"/>
      <c r="E537" s="202"/>
      <c r="F537" s="202"/>
      <c r="G537" s="202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</row>
    <row r="538" spans="1:31" ht="13.5" thickBot="1">
      <c r="A538" s="202"/>
      <c r="B538" s="202"/>
      <c r="C538" s="202"/>
      <c r="D538" s="202"/>
      <c r="E538" s="202"/>
      <c r="F538" s="202"/>
      <c r="G538" s="202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  <c r="R538" s="177"/>
      <c r="S538" s="177"/>
      <c r="T538" s="177"/>
      <c r="U538" s="177"/>
      <c r="V538" s="177"/>
      <c r="W538" s="177"/>
      <c r="X538" s="177"/>
      <c r="Y538" s="177"/>
      <c r="Z538" s="177"/>
      <c r="AA538" s="177"/>
      <c r="AB538" s="177"/>
      <c r="AC538" s="177"/>
      <c r="AD538" s="177"/>
      <c r="AE538" s="177"/>
    </row>
    <row r="539" spans="1:31" ht="13.5" thickBot="1">
      <c r="A539" s="202"/>
      <c r="B539" s="202"/>
      <c r="C539" s="202"/>
      <c r="D539" s="202"/>
      <c r="E539" s="202"/>
      <c r="F539" s="202"/>
      <c r="G539" s="202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  <c r="R539" s="177"/>
      <c r="S539" s="177"/>
      <c r="T539" s="177"/>
      <c r="U539" s="177"/>
      <c r="V539" s="177"/>
      <c r="W539" s="177"/>
      <c r="X539" s="177"/>
      <c r="Y539" s="177"/>
      <c r="Z539" s="177"/>
      <c r="AA539" s="177"/>
      <c r="AB539" s="177"/>
      <c r="AC539" s="177"/>
      <c r="AD539" s="177"/>
      <c r="AE539" s="177"/>
    </row>
    <row r="540" spans="1:31" ht="13.5" thickBot="1">
      <c r="A540" s="202"/>
      <c r="B540" s="202"/>
      <c r="C540" s="202"/>
      <c r="D540" s="202"/>
      <c r="E540" s="202"/>
      <c r="F540" s="202"/>
      <c r="G540" s="202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  <c r="R540" s="177"/>
      <c r="S540" s="177"/>
      <c r="T540" s="177"/>
      <c r="U540" s="177"/>
      <c r="V540" s="177"/>
      <c r="W540" s="177"/>
      <c r="X540" s="177"/>
      <c r="Y540" s="177"/>
      <c r="Z540" s="177"/>
      <c r="AA540" s="177"/>
      <c r="AB540" s="177"/>
      <c r="AC540" s="177"/>
      <c r="AD540" s="177"/>
      <c r="AE540" s="177"/>
    </row>
    <row r="541" spans="1:31" ht="13.5" thickBot="1">
      <c r="A541" s="202"/>
      <c r="B541" s="202"/>
      <c r="C541" s="202"/>
      <c r="D541" s="202"/>
      <c r="E541" s="202"/>
      <c r="F541" s="202"/>
      <c r="G541" s="202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  <c r="R541" s="177"/>
      <c r="S541" s="177"/>
      <c r="T541" s="177"/>
      <c r="U541" s="177"/>
      <c r="V541" s="177"/>
      <c r="W541" s="177"/>
      <c r="X541" s="177"/>
      <c r="Y541" s="177"/>
      <c r="Z541" s="177"/>
      <c r="AA541" s="177"/>
      <c r="AB541" s="177"/>
      <c r="AC541" s="177"/>
      <c r="AD541" s="177"/>
      <c r="AE541" s="177"/>
    </row>
    <row r="542" spans="1:31" ht="13.5" thickBot="1">
      <c r="A542" s="202"/>
      <c r="B542" s="202"/>
      <c r="C542" s="202"/>
      <c r="D542" s="202"/>
      <c r="E542" s="202"/>
      <c r="F542" s="202"/>
      <c r="G542" s="202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  <c r="R542" s="177"/>
      <c r="S542" s="177"/>
      <c r="T542" s="177"/>
      <c r="U542" s="177"/>
      <c r="V542" s="177"/>
      <c r="W542" s="177"/>
      <c r="X542" s="177"/>
      <c r="Y542" s="177"/>
      <c r="Z542" s="177"/>
      <c r="AA542" s="177"/>
      <c r="AB542" s="177"/>
      <c r="AC542" s="177"/>
      <c r="AD542" s="177"/>
      <c r="AE542" s="177"/>
    </row>
    <row r="543" spans="1:31" ht="13.5" thickBot="1">
      <c r="A543" s="202"/>
      <c r="B543" s="202"/>
      <c r="C543" s="202"/>
      <c r="D543" s="202"/>
      <c r="E543" s="202"/>
      <c r="F543" s="202"/>
      <c r="G543" s="202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  <c r="R543" s="177"/>
      <c r="S543" s="177"/>
      <c r="T543" s="177"/>
      <c r="U543" s="177"/>
      <c r="V543" s="177"/>
      <c r="W543" s="177"/>
      <c r="X543" s="177"/>
      <c r="Y543" s="177"/>
      <c r="Z543" s="177"/>
      <c r="AA543" s="177"/>
      <c r="AB543" s="177"/>
      <c r="AC543" s="177"/>
      <c r="AD543" s="177"/>
      <c r="AE543" s="177"/>
    </row>
    <row r="544" spans="1:31" ht="13.5" thickBot="1">
      <c r="A544" s="202"/>
      <c r="B544" s="202"/>
      <c r="C544" s="202"/>
      <c r="D544" s="202"/>
      <c r="E544" s="202"/>
      <c r="F544" s="202"/>
      <c r="G544" s="202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  <c r="R544" s="177"/>
      <c r="S544" s="177"/>
      <c r="T544" s="177"/>
      <c r="U544" s="177"/>
      <c r="V544" s="177"/>
      <c r="W544" s="177"/>
      <c r="X544" s="177"/>
      <c r="Y544" s="177"/>
      <c r="Z544" s="177"/>
      <c r="AA544" s="177"/>
      <c r="AB544" s="177"/>
      <c r="AC544" s="177"/>
      <c r="AD544" s="177"/>
      <c r="AE544" s="177"/>
    </row>
    <row r="545" spans="1:31" ht="13.5" thickBot="1">
      <c r="A545" s="202"/>
      <c r="B545" s="202"/>
      <c r="C545" s="202"/>
      <c r="D545" s="202"/>
      <c r="E545" s="202"/>
      <c r="F545" s="202"/>
      <c r="G545" s="202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  <c r="R545" s="177"/>
      <c r="S545" s="177"/>
      <c r="T545" s="177"/>
      <c r="U545" s="177"/>
      <c r="V545" s="177"/>
      <c r="W545" s="177"/>
      <c r="X545" s="177"/>
      <c r="Y545" s="177"/>
      <c r="Z545" s="177"/>
      <c r="AA545" s="177"/>
      <c r="AB545" s="177"/>
      <c r="AC545" s="177"/>
      <c r="AD545" s="177"/>
      <c r="AE545" s="177"/>
    </row>
    <row r="546" spans="1:31" ht="13.5" thickBot="1">
      <c r="A546" s="202"/>
      <c r="B546" s="202"/>
      <c r="C546" s="202"/>
      <c r="D546" s="202"/>
      <c r="E546" s="202"/>
      <c r="F546" s="202"/>
      <c r="G546" s="202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  <c r="R546" s="177"/>
      <c r="S546" s="177"/>
      <c r="T546" s="177"/>
      <c r="U546" s="177"/>
      <c r="V546" s="177"/>
      <c r="W546" s="177"/>
      <c r="X546" s="177"/>
      <c r="Y546" s="177"/>
      <c r="Z546" s="177"/>
      <c r="AA546" s="177"/>
      <c r="AB546" s="177"/>
      <c r="AC546" s="177"/>
      <c r="AD546" s="177"/>
      <c r="AE546" s="177"/>
    </row>
    <row r="547" spans="1:31" ht="13.5" thickBot="1">
      <c r="A547" s="202"/>
      <c r="B547" s="202"/>
      <c r="C547" s="202"/>
      <c r="D547" s="202"/>
      <c r="E547" s="202"/>
      <c r="F547" s="202"/>
      <c r="G547" s="202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  <c r="R547" s="177"/>
      <c r="S547" s="177"/>
      <c r="T547" s="177"/>
      <c r="U547" s="177"/>
      <c r="V547" s="177"/>
      <c r="W547" s="177"/>
      <c r="X547" s="177"/>
      <c r="Y547" s="177"/>
      <c r="Z547" s="177"/>
      <c r="AA547" s="177"/>
      <c r="AB547" s="177"/>
      <c r="AC547" s="177"/>
      <c r="AD547" s="177"/>
      <c r="AE547" s="177"/>
    </row>
    <row r="548" spans="1:31" ht="13.5" thickBot="1">
      <c r="A548" s="202"/>
      <c r="B548" s="202"/>
      <c r="C548" s="202"/>
      <c r="D548" s="202"/>
      <c r="E548" s="202"/>
      <c r="F548" s="202"/>
      <c r="G548" s="202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  <c r="R548" s="177"/>
      <c r="S548" s="177"/>
      <c r="T548" s="177"/>
      <c r="U548" s="177"/>
      <c r="V548" s="177"/>
      <c r="W548" s="177"/>
      <c r="X548" s="177"/>
      <c r="Y548" s="177"/>
      <c r="Z548" s="177"/>
      <c r="AA548" s="177"/>
      <c r="AB548" s="177"/>
      <c r="AC548" s="177"/>
      <c r="AD548" s="177"/>
      <c r="AE548" s="177"/>
    </row>
    <row r="549" spans="1:31" ht="13.5" thickBot="1">
      <c r="A549" s="202"/>
      <c r="B549" s="202"/>
      <c r="C549" s="202"/>
      <c r="D549" s="202"/>
      <c r="E549" s="202"/>
      <c r="F549" s="202"/>
      <c r="G549" s="202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  <c r="R549" s="177"/>
      <c r="S549" s="177"/>
      <c r="T549" s="177"/>
      <c r="U549" s="177"/>
      <c r="V549" s="177"/>
      <c r="W549" s="177"/>
      <c r="X549" s="177"/>
      <c r="Y549" s="177"/>
      <c r="Z549" s="177"/>
      <c r="AA549" s="177"/>
      <c r="AB549" s="177"/>
      <c r="AC549" s="177"/>
      <c r="AD549" s="177"/>
      <c r="AE549" s="177"/>
    </row>
    <row r="550" spans="1:31" ht="13.5" thickBot="1">
      <c r="A550" s="202"/>
      <c r="B550" s="202"/>
      <c r="C550" s="202"/>
      <c r="D550" s="202"/>
      <c r="E550" s="202"/>
      <c r="F550" s="202"/>
      <c r="G550" s="202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  <c r="R550" s="177"/>
      <c r="S550" s="177"/>
      <c r="T550" s="177"/>
      <c r="U550" s="177"/>
      <c r="V550" s="177"/>
      <c r="W550" s="177"/>
      <c r="X550" s="177"/>
      <c r="Y550" s="177"/>
      <c r="Z550" s="177"/>
      <c r="AA550" s="177"/>
      <c r="AB550" s="177"/>
      <c r="AC550" s="177"/>
      <c r="AD550" s="177"/>
      <c r="AE550" s="177"/>
    </row>
    <row r="551" spans="1:31" ht="13.5" thickBot="1">
      <c r="A551" s="202"/>
      <c r="B551" s="202"/>
      <c r="C551" s="202"/>
      <c r="D551" s="202"/>
      <c r="E551" s="202"/>
      <c r="F551" s="202"/>
      <c r="G551" s="202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  <c r="R551" s="177"/>
      <c r="S551" s="177"/>
      <c r="T551" s="177"/>
      <c r="U551" s="177"/>
      <c r="V551" s="177"/>
      <c r="W551" s="177"/>
      <c r="X551" s="177"/>
      <c r="Y551" s="177"/>
      <c r="Z551" s="177"/>
      <c r="AA551" s="177"/>
      <c r="AB551" s="177"/>
      <c r="AC551" s="177"/>
      <c r="AD551" s="177"/>
      <c r="AE551" s="177"/>
    </row>
    <row r="552" spans="1:31" ht="13.5" thickBot="1">
      <c r="A552" s="202"/>
      <c r="B552" s="202"/>
      <c r="C552" s="202"/>
      <c r="D552" s="202"/>
      <c r="E552" s="202"/>
      <c r="F552" s="202"/>
      <c r="G552" s="202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  <c r="R552" s="177"/>
      <c r="S552" s="177"/>
      <c r="T552" s="177"/>
      <c r="U552" s="177"/>
      <c r="V552" s="177"/>
      <c r="W552" s="177"/>
      <c r="X552" s="177"/>
      <c r="Y552" s="177"/>
      <c r="Z552" s="177"/>
      <c r="AA552" s="177"/>
      <c r="AB552" s="177"/>
      <c r="AC552" s="177"/>
      <c r="AD552" s="177"/>
      <c r="AE552" s="177"/>
    </row>
    <row r="553" spans="1:31" ht="13.5" thickBot="1">
      <c r="A553" s="202"/>
      <c r="B553" s="202"/>
      <c r="C553" s="202"/>
      <c r="D553" s="202"/>
      <c r="E553" s="202"/>
      <c r="F553" s="202"/>
      <c r="G553" s="202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  <c r="R553" s="177"/>
      <c r="S553" s="177"/>
      <c r="T553" s="177"/>
      <c r="U553" s="177"/>
      <c r="V553" s="177"/>
      <c r="W553" s="177"/>
      <c r="X553" s="177"/>
      <c r="Y553" s="177"/>
      <c r="Z553" s="177"/>
      <c r="AA553" s="177"/>
      <c r="AB553" s="177"/>
      <c r="AC553" s="177"/>
      <c r="AD553" s="177"/>
      <c r="AE553" s="177"/>
    </row>
    <row r="554" spans="1:31" ht="13.5" thickBot="1">
      <c r="A554" s="202"/>
      <c r="B554" s="202"/>
      <c r="C554" s="202"/>
      <c r="D554" s="202"/>
      <c r="E554" s="202"/>
      <c r="F554" s="202"/>
      <c r="G554" s="202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  <c r="R554" s="177"/>
      <c r="S554" s="177"/>
      <c r="T554" s="177"/>
      <c r="U554" s="177"/>
      <c r="V554" s="177"/>
      <c r="W554" s="177"/>
      <c r="X554" s="177"/>
      <c r="Y554" s="177"/>
      <c r="Z554" s="177"/>
      <c r="AA554" s="177"/>
      <c r="AB554" s="177"/>
      <c r="AC554" s="177"/>
      <c r="AD554" s="177"/>
      <c r="AE554" s="177"/>
    </row>
    <row r="555" spans="1:31" ht="13.5" thickBot="1">
      <c r="A555" s="202"/>
      <c r="B555" s="202"/>
      <c r="C555" s="202"/>
      <c r="D555" s="202"/>
      <c r="E555" s="202"/>
      <c r="F555" s="202"/>
      <c r="G555" s="202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  <c r="R555" s="177"/>
      <c r="S555" s="177"/>
      <c r="T555" s="177"/>
      <c r="U555" s="177"/>
      <c r="V555" s="177"/>
      <c r="W555" s="177"/>
      <c r="X555" s="177"/>
      <c r="Y555" s="177"/>
      <c r="Z555" s="177"/>
      <c r="AA555" s="177"/>
      <c r="AB555" s="177"/>
      <c r="AC555" s="177"/>
      <c r="AD555" s="177"/>
      <c r="AE555" s="177"/>
    </row>
    <row r="556" spans="1:31" ht="13.5" thickBot="1">
      <c r="A556" s="202"/>
      <c r="B556" s="202"/>
      <c r="C556" s="202"/>
      <c r="D556" s="202"/>
      <c r="E556" s="202"/>
      <c r="F556" s="202"/>
      <c r="G556" s="202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  <c r="R556" s="177"/>
      <c r="S556" s="177"/>
      <c r="T556" s="177"/>
      <c r="U556" s="177"/>
      <c r="V556" s="177"/>
      <c r="W556" s="177"/>
      <c r="X556" s="177"/>
      <c r="Y556" s="177"/>
      <c r="Z556" s="177"/>
      <c r="AA556" s="177"/>
      <c r="AB556" s="177"/>
      <c r="AC556" s="177"/>
      <c r="AD556" s="177"/>
      <c r="AE556" s="177"/>
    </row>
    <row r="557" spans="1:31" ht="13.5" thickBot="1">
      <c r="A557" s="202"/>
      <c r="B557" s="202"/>
      <c r="C557" s="202"/>
      <c r="D557" s="202"/>
      <c r="E557" s="202"/>
      <c r="F557" s="202"/>
      <c r="G557" s="202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  <c r="R557" s="177"/>
      <c r="S557" s="177"/>
      <c r="T557" s="177"/>
      <c r="U557" s="177"/>
      <c r="V557" s="177"/>
      <c r="W557" s="177"/>
      <c r="X557" s="177"/>
      <c r="Y557" s="177"/>
      <c r="Z557" s="177"/>
      <c r="AA557" s="177"/>
      <c r="AB557" s="177"/>
      <c r="AC557" s="177"/>
      <c r="AD557" s="177"/>
      <c r="AE557" s="177"/>
    </row>
    <row r="558" spans="1:31" ht="13.5" thickBot="1">
      <c r="A558" s="202"/>
      <c r="B558" s="202"/>
      <c r="C558" s="202"/>
      <c r="D558" s="202"/>
      <c r="E558" s="202"/>
      <c r="F558" s="202"/>
      <c r="G558" s="202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  <c r="R558" s="177"/>
      <c r="S558" s="177"/>
      <c r="T558" s="177"/>
      <c r="U558" s="177"/>
      <c r="V558" s="177"/>
      <c r="W558" s="177"/>
      <c r="X558" s="177"/>
      <c r="Y558" s="177"/>
      <c r="Z558" s="177"/>
      <c r="AA558" s="177"/>
      <c r="AB558" s="177"/>
      <c r="AC558" s="177"/>
      <c r="AD558" s="177"/>
      <c r="AE558" s="177"/>
    </row>
    <row r="559" spans="1:31" ht="13.5" thickBot="1">
      <c r="A559" s="202"/>
      <c r="B559" s="202"/>
      <c r="C559" s="202"/>
      <c r="D559" s="202"/>
      <c r="E559" s="202"/>
      <c r="F559" s="202"/>
      <c r="G559" s="202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  <c r="R559" s="177"/>
      <c r="S559" s="177"/>
      <c r="T559" s="177"/>
      <c r="U559" s="177"/>
      <c r="V559" s="177"/>
      <c r="W559" s="177"/>
      <c r="X559" s="177"/>
      <c r="Y559" s="177"/>
      <c r="Z559" s="177"/>
      <c r="AA559" s="177"/>
      <c r="AB559" s="177"/>
      <c r="AC559" s="177"/>
      <c r="AD559" s="177"/>
      <c r="AE559" s="177"/>
    </row>
    <row r="560" spans="1:31" ht="13.5" thickBot="1">
      <c r="A560" s="202"/>
      <c r="B560" s="202"/>
      <c r="C560" s="202"/>
      <c r="D560" s="202"/>
      <c r="E560" s="202"/>
      <c r="F560" s="202"/>
      <c r="G560" s="202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  <c r="R560" s="177"/>
      <c r="S560" s="177"/>
      <c r="T560" s="177"/>
      <c r="U560" s="177"/>
      <c r="V560" s="177"/>
      <c r="W560" s="177"/>
      <c r="X560" s="177"/>
      <c r="Y560" s="177"/>
      <c r="Z560" s="177"/>
      <c r="AA560" s="177"/>
      <c r="AB560" s="177"/>
      <c r="AC560" s="177"/>
      <c r="AD560" s="177"/>
      <c r="AE560" s="177"/>
    </row>
    <row r="561" spans="1:31" ht="13.5" thickBot="1">
      <c r="A561" s="202"/>
      <c r="B561" s="202"/>
      <c r="C561" s="202"/>
      <c r="D561" s="202"/>
      <c r="E561" s="202"/>
      <c r="F561" s="202"/>
      <c r="G561" s="202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  <c r="R561" s="177"/>
      <c r="S561" s="177"/>
      <c r="T561" s="177"/>
      <c r="U561" s="177"/>
      <c r="V561" s="177"/>
      <c r="W561" s="177"/>
      <c r="X561" s="177"/>
      <c r="Y561" s="177"/>
      <c r="Z561" s="177"/>
      <c r="AA561" s="177"/>
      <c r="AB561" s="177"/>
      <c r="AC561" s="177"/>
      <c r="AD561" s="177"/>
      <c r="AE561" s="177"/>
    </row>
    <row r="562" spans="1:31" ht="13.5" thickBot="1">
      <c r="A562" s="202"/>
      <c r="B562" s="202"/>
      <c r="C562" s="202"/>
      <c r="D562" s="202"/>
      <c r="E562" s="202"/>
      <c r="F562" s="202"/>
      <c r="G562" s="202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  <c r="R562" s="177"/>
      <c r="S562" s="177"/>
      <c r="T562" s="177"/>
      <c r="U562" s="177"/>
      <c r="V562" s="177"/>
      <c r="W562" s="177"/>
      <c r="X562" s="177"/>
      <c r="Y562" s="177"/>
      <c r="Z562" s="177"/>
      <c r="AA562" s="177"/>
      <c r="AB562" s="177"/>
      <c r="AC562" s="177"/>
      <c r="AD562" s="177"/>
      <c r="AE562" s="177"/>
    </row>
    <row r="563" spans="1:31" ht="13.5" thickBot="1">
      <c r="A563" s="202"/>
      <c r="B563" s="202"/>
      <c r="C563" s="202"/>
      <c r="D563" s="202"/>
      <c r="E563" s="202"/>
      <c r="F563" s="202"/>
      <c r="G563" s="202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  <c r="R563" s="177"/>
      <c r="S563" s="177"/>
      <c r="T563" s="177"/>
      <c r="U563" s="177"/>
      <c r="V563" s="177"/>
      <c r="W563" s="177"/>
      <c r="X563" s="177"/>
      <c r="Y563" s="177"/>
      <c r="Z563" s="177"/>
      <c r="AA563" s="177"/>
      <c r="AB563" s="177"/>
      <c r="AC563" s="177"/>
      <c r="AD563" s="177"/>
      <c r="AE563" s="177"/>
    </row>
    <row r="564" spans="1:31" ht="13.5" thickBot="1">
      <c r="A564" s="202"/>
      <c r="B564" s="202"/>
      <c r="C564" s="202"/>
      <c r="D564" s="202"/>
      <c r="E564" s="202"/>
      <c r="F564" s="202"/>
      <c r="G564" s="202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  <c r="R564" s="177"/>
      <c r="S564" s="177"/>
      <c r="T564" s="177"/>
      <c r="U564" s="177"/>
      <c r="V564" s="177"/>
      <c r="W564" s="177"/>
      <c r="X564" s="177"/>
      <c r="Y564" s="177"/>
      <c r="Z564" s="177"/>
      <c r="AA564" s="177"/>
      <c r="AB564" s="177"/>
      <c r="AC564" s="177"/>
      <c r="AD564" s="177"/>
      <c r="AE564" s="177"/>
    </row>
    <row r="565" spans="1:31" ht="13.5" thickBot="1">
      <c r="A565" s="202"/>
      <c r="B565" s="202"/>
      <c r="C565" s="202"/>
      <c r="D565" s="202"/>
      <c r="E565" s="202"/>
      <c r="F565" s="202"/>
      <c r="G565" s="202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  <c r="R565" s="177"/>
      <c r="S565" s="177"/>
      <c r="T565" s="177"/>
      <c r="U565" s="177"/>
      <c r="V565" s="177"/>
      <c r="W565" s="177"/>
      <c r="X565" s="177"/>
      <c r="Y565" s="177"/>
      <c r="Z565" s="177"/>
      <c r="AA565" s="177"/>
      <c r="AB565" s="177"/>
      <c r="AC565" s="177"/>
      <c r="AD565" s="177"/>
      <c r="AE565" s="177"/>
    </row>
    <row r="566" spans="1:31" ht="13.5" thickBot="1">
      <c r="A566" s="202"/>
      <c r="B566" s="202"/>
      <c r="C566" s="202"/>
      <c r="D566" s="202"/>
      <c r="E566" s="202"/>
      <c r="F566" s="202"/>
      <c r="G566" s="202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  <c r="R566" s="177"/>
      <c r="S566" s="177"/>
      <c r="T566" s="177"/>
      <c r="U566" s="177"/>
      <c r="V566" s="177"/>
      <c r="W566" s="177"/>
      <c r="X566" s="177"/>
      <c r="Y566" s="177"/>
      <c r="Z566" s="177"/>
      <c r="AA566" s="177"/>
      <c r="AB566" s="177"/>
      <c r="AC566" s="177"/>
      <c r="AD566" s="177"/>
      <c r="AE566" s="177"/>
    </row>
    <row r="567" spans="1:31" ht="13.5" thickBot="1">
      <c r="A567" s="202"/>
      <c r="B567" s="202"/>
      <c r="C567" s="202"/>
      <c r="D567" s="202"/>
      <c r="E567" s="202"/>
      <c r="F567" s="202"/>
      <c r="G567" s="202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  <c r="R567" s="177"/>
      <c r="S567" s="177"/>
      <c r="T567" s="177"/>
      <c r="U567" s="177"/>
      <c r="V567" s="177"/>
      <c r="W567" s="177"/>
      <c r="X567" s="177"/>
      <c r="Y567" s="177"/>
      <c r="Z567" s="177"/>
      <c r="AA567" s="177"/>
      <c r="AB567" s="177"/>
      <c r="AC567" s="177"/>
      <c r="AD567" s="177"/>
      <c r="AE567" s="177"/>
    </row>
    <row r="568" spans="1:31" ht="13.5" thickBot="1">
      <c r="A568" s="202"/>
      <c r="B568" s="202"/>
      <c r="C568" s="202"/>
      <c r="D568" s="202"/>
      <c r="E568" s="202"/>
      <c r="F568" s="202"/>
      <c r="G568" s="202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  <c r="R568" s="177"/>
      <c r="S568" s="177"/>
      <c r="T568" s="177"/>
      <c r="U568" s="177"/>
      <c r="V568" s="177"/>
      <c r="W568" s="177"/>
      <c r="X568" s="177"/>
      <c r="Y568" s="177"/>
      <c r="Z568" s="177"/>
      <c r="AA568" s="177"/>
      <c r="AB568" s="177"/>
      <c r="AC568" s="177"/>
      <c r="AD568" s="177"/>
      <c r="AE568" s="177"/>
    </row>
    <row r="569" spans="1:31" ht="13.5" thickBot="1">
      <c r="A569" s="202"/>
      <c r="B569" s="202"/>
      <c r="C569" s="202"/>
      <c r="D569" s="202"/>
      <c r="E569" s="202"/>
      <c r="F569" s="202"/>
      <c r="G569" s="202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  <c r="R569" s="177"/>
      <c r="S569" s="177"/>
      <c r="T569" s="177"/>
      <c r="U569" s="177"/>
      <c r="V569" s="177"/>
      <c r="W569" s="177"/>
      <c r="X569" s="177"/>
      <c r="Y569" s="177"/>
      <c r="Z569" s="177"/>
      <c r="AA569" s="177"/>
      <c r="AB569" s="177"/>
      <c r="AC569" s="177"/>
      <c r="AD569" s="177"/>
      <c r="AE569" s="177"/>
    </row>
    <row r="570" spans="1:31" ht="13.5" thickBot="1">
      <c r="A570" s="202"/>
      <c r="B570" s="202"/>
      <c r="C570" s="202"/>
      <c r="D570" s="202"/>
      <c r="E570" s="202"/>
      <c r="F570" s="202"/>
      <c r="G570" s="202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  <c r="R570" s="177"/>
      <c r="S570" s="177"/>
      <c r="T570" s="177"/>
      <c r="U570" s="177"/>
      <c r="V570" s="177"/>
      <c r="W570" s="177"/>
      <c r="X570" s="177"/>
      <c r="Y570" s="177"/>
      <c r="Z570" s="177"/>
      <c r="AA570" s="177"/>
      <c r="AB570" s="177"/>
      <c r="AC570" s="177"/>
      <c r="AD570" s="177"/>
      <c r="AE570" s="177"/>
    </row>
    <row r="571" spans="1:31" ht="13.5" thickBot="1">
      <c r="A571" s="202"/>
      <c r="B571" s="202"/>
      <c r="C571" s="202"/>
      <c r="D571" s="202"/>
      <c r="E571" s="202"/>
      <c r="F571" s="202"/>
      <c r="G571" s="202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  <c r="R571" s="177"/>
      <c r="S571" s="177"/>
      <c r="T571" s="177"/>
      <c r="U571" s="177"/>
      <c r="V571" s="177"/>
      <c r="W571" s="177"/>
      <c r="X571" s="177"/>
      <c r="Y571" s="177"/>
      <c r="Z571" s="177"/>
      <c r="AA571" s="177"/>
      <c r="AB571" s="177"/>
      <c r="AC571" s="177"/>
      <c r="AD571" s="177"/>
      <c r="AE571" s="177"/>
    </row>
    <row r="572" spans="1:31" ht="13.5" thickBot="1">
      <c r="A572" s="202"/>
      <c r="B572" s="202"/>
      <c r="C572" s="202"/>
      <c r="D572" s="202"/>
      <c r="E572" s="202"/>
      <c r="F572" s="202"/>
      <c r="G572" s="202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  <c r="R572" s="177"/>
      <c r="S572" s="177"/>
      <c r="T572" s="177"/>
      <c r="U572" s="177"/>
      <c r="V572" s="177"/>
      <c r="W572" s="177"/>
      <c r="X572" s="177"/>
      <c r="Y572" s="177"/>
      <c r="Z572" s="177"/>
      <c r="AA572" s="177"/>
      <c r="AB572" s="177"/>
      <c r="AC572" s="177"/>
      <c r="AD572" s="177"/>
      <c r="AE572" s="177"/>
    </row>
    <row r="573" spans="1:31" ht="13.5" thickBot="1">
      <c r="A573" s="202"/>
      <c r="B573" s="202"/>
      <c r="C573" s="202"/>
      <c r="D573" s="202"/>
      <c r="E573" s="202"/>
      <c r="F573" s="202"/>
      <c r="G573" s="202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  <c r="R573" s="177"/>
      <c r="S573" s="177"/>
      <c r="T573" s="177"/>
      <c r="U573" s="177"/>
      <c r="V573" s="177"/>
      <c r="W573" s="177"/>
      <c r="X573" s="177"/>
      <c r="Y573" s="177"/>
      <c r="Z573" s="177"/>
      <c r="AA573" s="177"/>
      <c r="AB573" s="177"/>
      <c r="AC573" s="177"/>
      <c r="AD573" s="177"/>
      <c r="AE573" s="177"/>
    </row>
    <row r="574" spans="1:31" ht="13.5" thickBot="1">
      <c r="A574" s="202"/>
      <c r="B574" s="202"/>
      <c r="C574" s="202"/>
      <c r="D574" s="202"/>
      <c r="E574" s="202"/>
      <c r="F574" s="202"/>
      <c r="G574" s="202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  <c r="R574" s="177"/>
      <c r="S574" s="177"/>
      <c r="T574" s="177"/>
      <c r="U574" s="177"/>
      <c r="V574" s="177"/>
      <c r="W574" s="177"/>
      <c r="X574" s="177"/>
      <c r="Y574" s="177"/>
      <c r="Z574" s="177"/>
      <c r="AA574" s="177"/>
      <c r="AB574" s="177"/>
      <c r="AC574" s="177"/>
      <c r="AD574" s="177"/>
      <c r="AE574" s="177"/>
    </row>
    <row r="575" spans="1:31" ht="13.5" thickBot="1">
      <c r="A575" s="202"/>
      <c r="B575" s="202"/>
      <c r="C575" s="202"/>
      <c r="D575" s="202"/>
      <c r="E575" s="202"/>
      <c r="F575" s="202"/>
      <c r="G575" s="202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  <c r="R575" s="177"/>
      <c r="S575" s="177"/>
      <c r="T575" s="177"/>
      <c r="U575" s="177"/>
      <c r="V575" s="177"/>
      <c r="W575" s="177"/>
      <c r="X575" s="177"/>
      <c r="Y575" s="177"/>
      <c r="Z575" s="177"/>
      <c r="AA575" s="177"/>
      <c r="AB575" s="177"/>
      <c r="AC575" s="177"/>
      <c r="AD575" s="177"/>
      <c r="AE575" s="177"/>
    </row>
    <row r="576" spans="1:31" ht="13.5" thickBot="1">
      <c r="A576" s="202"/>
      <c r="B576" s="202"/>
      <c r="C576" s="202"/>
      <c r="D576" s="202"/>
      <c r="E576" s="202"/>
      <c r="F576" s="202"/>
      <c r="G576" s="202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  <c r="R576" s="177"/>
      <c r="S576" s="177"/>
      <c r="T576" s="177"/>
      <c r="U576" s="177"/>
      <c r="V576" s="177"/>
      <c r="W576" s="177"/>
      <c r="X576" s="177"/>
      <c r="Y576" s="177"/>
      <c r="Z576" s="177"/>
      <c r="AA576" s="177"/>
      <c r="AB576" s="177"/>
      <c r="AC576" s="177"/>
      <c r="AD576" s="177"/>
      <c r="AE576" s="177"/>
    </row>
    <row r="577" spans="1:31" ht="13.5" thickBot="1">
      <c r="A577" s="202"/>
      <c r="B577" s="202"/>
      <c r="C577" s="202"/>
      <c r="D577" s="202"/>
      <c r="E577" s="202"/>
      <c r="F577" s="202"/>
      <c r="G577" s="202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  <c r="R577" s="177"/>
      <c r="S577" s="177"/>
      <c r="T577" s="177"/>
      <c r="U577" s="177"/>
      <c r="V577" s="177"/>
      <c r="W577" s="177"/>
      <c r="X577" s="177"/>
      <c r="Y577" s="177"/>
      <c r="Z577" s="177"/>
      <c r="AA577" s="177"/>
      <c r="AB577" s="177"/>
      <c r="AC577" s="177"/>
      <c r="AD577" s="177"/>
      <c r="AE577" s="177"/>
    </row>
    <row r="578" spans="1:31" ht="13.5" thickBot="1">
      <c r="A578" s="202"/>
      <c r="B578" s="202"/>
      <c r="C578" s="202"/>
      <c r="D578" s="202"/>
      <c r="E578" s="202"/>
      <c r="F578" s="202"/>
      <c r="G578" s="202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  <c r="R578" s="177"/>
      <c r="S578" s="177"/>
      <c r="T578" s="177"/>
      <c r="U578" s="177"/>
      <c r="V578" s="177"/>
      <c r="W578" s="177"/>
      <c r="X578" s="177"/>
      <c r="Y578" s="177"/>
      <c r="Z578" s="177"/>
      <c r="AA578" s="177"/>
      <c r="AB578" s="177"/>
      <c r="AC578" s="177"/>
      <c r="AD578" s="177"/>
      <c r="AE578" s="177"/>
    </row>
    <row r="579" spans="1:31" ht="13.5" thickBot="1">
      <c r="A579" s="202"/>
      <c r="B579" s="202"/>
      <c r="C579" s="202"/>
      <c r="D579" s="202"/>
      <c r="E579" s="202"/>
      <c r="F579" s="202"/>
      <c r="G579" s="202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7"/>
      <c r="AA579" s="177"/>
      <c r="AB579" s="177"/>
      <c r="AC579" s="177"/>
      <c r="AD579" s="177"/>
      <c r="AE579" s="177"/>
    </row>
    <row r="580" spans="1:31" ht="13.5" thickBot="1">
      <c r="A580" s="202"/>
      <c r="B580" s="202"/>
      <c r="C580" s="202"/>
      <c r="D580" s="202"/>
      <c r="E580" s="202"/>
      <c r="F580" s="202"/>
      <c r="G580" s="202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  <c r="R580" s="177"/>
      <c r="S580" s="177"/>
      <c r="T580" s="177"/>
      <c r="U580" s="177"/>
      <c r="V580" s="177"/>
      <c r="W580" s="177"/>
      <c r="X580" s="177"/>
      <c r="Y580" s="177"/>
      <c r="Z580" s="177"/>
      <c r="AA580" s="177"/>
      <c r="AB580" s="177"/>
      <c r="AC580" s="177"/>
      <c r="AD580" s="177"/>
      <c r="AE580" s="177"/>
    </row>
    <row r="581" spans="1:31" ht="13.5" thickBot="1">
      <c r="A581" s="202"/>
      <c r="B581" s="202"/>
      <c r="C581" s="202"/>
      <c r="D581" s="202"/>
      <c r="E581" s="202"/>
      <c r="F581" s="202"/>
      <c r="G581" s="202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  <c r="R581" s="177"/>
      <c r="S581" s="177"/>
      <c r="T581" s="177"/>
      <c r="U581" s="177"/>
      <c r="V581" s="177"/>
      <c r="W581" s="177"/>
      <c r="X581" s="177"/>
      <c r="Y581" s="177"/>
      <c r="Z581" s="177"/>
      <c r="AA581" s="177"/>
      <c r="AB581" s="177"/>
      <c r="AC581" s="177"/>
      <c r="AD581" s="177"/>
      <c r="AE581" s="177"/>
    </row>
    <row r="582" spans="1:31" ht="13.5" thickBot="1">
      <c r="A582" s="202"/>
      <c r="B582" s="202"/>
      <c r="C582" s="202"/>
      <c r="D582" s="202"/>
      <c r="E582" s="202"/>
      <c r="F582" s="202"/>
      <c r="G582" s="202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  <c r="R582" s="177"/>
      <c r="S582" s="177"/>
      <c r="T582" s="177"/>
      <c r="U582" s="177"/>
      <c r="V582" s="177"/>
      <c r="W582" s="177"/>
      <c r="X582" s="177"/>
      <c r="Y582" s="177"/>
      <c r="Z582" s="177"/>
      <c r="AA582" s="177"/>
      <c r="AB582" s="177"/>
      <c r="AC582" s="177"/>
      <c r="AD582" s="177"/>
      <c r="AE582" s="177"/>
    </row>
    <row r="583" spans="1:31" ht="13.5" thickBot="1">
      <c r="A583" s="202"/>
      <c r="B583" s="202"/>
      <c r="C583" s="202"/>
      <c r="D583" s="202"/>
      <c r="E583" s="202"/>
      <c r="F583" s="202"/>
      <c r="G583" s="202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  <c r="R583" s="177"/>
      <c r="S583" s="177"/>
      <c r="T583" s="177"/>
      <c r="U583" s="177"/>
      <c r="V583" s="177"/>
      <c r="W583" s="177"/>
      <c r="X583" s="177"/>
      <c r="Y583" s="177"/>
      <c r="Z583" s="177"/>
      <c r="AA583" s="177"/>
      <c r="AB583" s="177"/>
      <c r="AC583" s="177"/>
      <c r="AD583" s="177"/>
      <c r="AE583" s="177"/>
    </row>
    <row r="584" spans="1:31" ht="13.5" thickBot="1">
      <c r="A584" s="202"/>
      <c r="B584" s="202"/>
      <c r="C584" s="202"/>
      <c r="D584" s="202"/>
      <c r="E584" s="202"/>
      <c r="F584" s="202"/>
      <c r="G584" s="202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  <c r="R584" s="177"/>
      <c r="S584" s="177"/>
      <c r="T584" s="177"/>
      <c r="U584" s="177"/>
      <c r="V584" s="177"/>
      <c r="W584" s="177"/>
      <c r="X584" s="177"/>
      <c r="Y584" s="177"/>
      <c r="Z584" s="177"/>
      <c r="AA584" s="177"/>
      <c r="AB584" s="177"/>
      <c r="AC584" s="177"/>
      <c r="AD584" s="177"/>
      <c r="AE584" s="177"/>
    </row>
    <row r="585" spans="1:31" ht="13.5" thickBot="1">
      <c r="A585" s="202"/>
      <c r="B585" s="202"/>
      <c r="C585" s="202"/>
      <c r="D585" s="202"/>
      <c r="E585" s="202"/>
      <c r="F585" s="202"/>
      <c r="G585" s="202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  <c r="R585" s="177"/>
      <c r="S585" s="177"/>
      <c r="T585" s="177"/>
      <c r="U585" s="177"/>
      <c r="V585" s="177"/>
      <c r="W585" s="177"/>
      <c r="X585" s="177"/>
      <c r="Y585" s="177"/>
      <c r="Z585" s="177"/>
      <c r="AA585" s="177"/>
      <c r="AB585" s="177"/>
      <c r="AC585" s="177"/>
      <c r="AD585" s="177"/>
      <c r="AE585" s="177"/>
    </row>
    <row r="586" spans="1:31" ht="13.5" thickBot="1">
      <c r="A586" s="202"/>
      <c r="B586" s="202"/>
      <c r="C586" s="202"/>
      <c r="D586" s="202"/>
      <c r="E586" s="202"/>
      <c r="F586" s="202"/>
      <c r="G586" s="202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  <c r="R586" s="177"/>
      <c r="S586" s="177"/>
      <c r="T586" s="177"/>
      <c r="U586" s="177"/>
      <c r="V586" s="177"/>
      <c r="W586" s="177"/>
      <c r="X586" s="177"/>
      <c r="Y586" s="177"/>
      <c r="Z586" s="177"/>
      <c r="AA586" s="177"/>
      <c r="AB586" s="177"/>
      <c r="AC586" s="177"/>
      <c r="AD586" s="177"/>
      <c r="AE586" s="177"/>
    </row>
    <row r="587" spans="1:31" ht="13.5" thickBot="1">
      <c r="A587" s="202"/>
      <c r="B587" s="202"/>
      <c r="C587" s="202"/>
      <c r="D587" s="202"/>
      <c r="E587" s="202"/>
      <c r="F587" s="202"/>
      <c r="G587" s="202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  <c r="R587" s="177"/>
      <c r="S587" s="177"/>
      <c r="T587" s="177"/>
      <c r="U587" s="177"/>
      <c r="V587" s="177"/>
      <c r="W587" s="177"/>
      <c r="X587" s="177"/>
      <c r="Y587" s="177"/>
      <c r="Z587" s="177"/>
      <c r="AA587" s="177"/>
      <c r="AB587" s="177"/>
      <c r="AC587" s="177"/>
      <c r="AD587" s="177"/>
      <c r="AE587" s="177"/>
    </row>
    <row r="588" spans="1:31" ht="13.5" thickBot="1">
      <c r="A588" s="202"/>
      <c r="B588" s="202"/>
      <c r="C588" s="202"/>
      <c r="D588" s="202"/>
      <c r="E588" s="202"/>
      <c r="F588" s="202"/>
      <c r="G588" s="202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77"/>
      <c r="AE588" s="177"/>
    </row>
    <row r="589" spans="1:31" ht="13.5" thickBot="1">
      <c r="A589" s="202"/>
      <c r="B589" s="202"/>
      <c r="C589" s="202"/>
      <c r="D589" s="202"/>
      <c r="E589" s="202"/>
      <c r="F589" s="202"/>
      <c r="G589" s="202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  <c r="R589" s="177"/>
      <c r="S589" s="177"/>
      <c r="T589" s="177"/>
      <c r="U589" s="177"/>
      <c r="V589" s="177"/>
      <c r="W589" s="177"/>
      <c r="X589" s="177"/>
      <c r="Y589" s="177"/>
      <c r="Z589" s="177"/>
      <c r="AA589" s="177"/>
      <c r="AB589" s="177"/>
      <c r="AC589" s="177"/>
      <c r="AD589" s="177"/>
      <c r="AE589" s="177"/>
    </row>
    <row r="590" spans="1:31" ht="13.5" thickBot="1">
      <c r="A590" s="202"/>
      <c r="B590" s="202"/>
      <c r="C590" s="202"/>
      <c r="D590" s="202"/>
      <c r="E590" s="202"/>
      <c r="F590" s="202"/>
      <c r="G590" s="202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  <c r="R590" s="177"/>
      <c r="S590" s="177"/>
      <c r="T590" s="177"/>
      <c r="U590" s="177"/>
      <c r="V590" s="177"/>
      <c r="W590" s="177"/>
      <c r="X590" s="177"/>
      <c r="Y590" s="177"/>
      <c r="Z590" s="177"/>
      <c r="AA590" s="177"/>
      <c r="AB590" s="177"/>
      <c r="AC590" s="177"/>
      <c r="AD590" s="177"/>
      <c r="AE590" s="177"/>
    </row>
    <row r="591" spans="1:31" ht="13.5" thickBot="1">
      <c r="A591" s="202"/>
      <c r="B591" s="202"/>
      <c r="C591" s="202"/>
      <c r="D591" s="202"/>
      <c r="E591" s="202"/>
      <c r="F591" s="202"/>
      <c r="G591" s="202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  <c r="R591" s="177"/>
      <c r="S591" s="177"/>
      <c r="T591" s="177"/>
      <c r="U591" s="177"/>
      <c r="V591" s="177"/>
      <c r="W591" s="177"/>
      <c r="X591" s="177"/>
      <c r="Y591" s="177"/>
      <c r="Z591" s="177"/>
      <c r="AA591" s="177"/>
      <c r="AB591" s="177"/>
      <c r="AC591" s="177"/>
      <c r="AD591" s="177"/>
      <c r="AE591" s="177"/>
    </row>
    <row r="592" spans="1:31" ht="13.5" thickBot="1">
      <c r="A592" s="202"/>
      <c r="B592" s="202"/>
      <c r="C592" s="202"/>
      <c r="D592" s="202"/>
      <c r="E592" s="202"/>
      <c r="F592" s="202"/>
      <c r="G592" s="202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  <c r="R592" s="177"/>
      <c r="S592" s="177"/>
      <c r="T592" s="177"/>
      <c r="U592" s="177"/>
      <c r="V592" s="177"/>
      <c r="W592" s="177"/>
      <c r="X592" s="177"/>
      <c r="Y592" s="177"/>
      <c r="Z592" s="177"/>
      <c r="AA592" s="177"/>
      <c r="AB592" s="177"/>
      <c r="AC592" s="177"/>
      <c r="AD592" s="177"/>
      <c r="AE592" s="177"/>
    </row>
    <row r="593" spans="1:31" ht="13.5" thickBot="1">
      <c r="A593" s="202"/>
      <c r="B593" s="202"/>
      <c r="C593" s="202"/>
      <c r="D593" s="202"/>
      <c r="E593" s="202"/>
      <c r="F593" s="202"/>
      <c r="G593" s="202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  <c r="R593" s="177"/>
      <c r="S593" s="177"/>
      <c r="T593" s="177"/>
      <c r="U593" s="177"/>
      <c r="V593" s="177"/>
      <c r="W593" s="177"/>
      <c r="X593" s="177"/>
      <c r="Y593" s="177"/>
      <c r="Z593" s="177"/>
      <c r="AA593" s="177"/>
      <c r="AB593" s="177"/>
      <c r="AC593" s="177"/>
      <c r="AD593" s="177"/>
      <c r="AE593" s="177"/>
    </row>
    <row r="594" spans="1:31" ht="13.5" thickBot="1">
      <c r="A594" s="202"/>
      <c r="B594" s="202"/>
      <c r="C594" s="202"/>
      <c r="D594" s="202"/>
      <c r="E594" s="202"/>
      <c r="F594" s="202"/>
      <c r="G594" s="202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  <c r="R594" s="177"/>
      <c r="S594" s="177"/>
      <c r="T594" s="177"/>
      <c r="U594" s="177"/>
      <c r="V594" s="177"/>
      <c r="W594" s="177"/>
      <c r="X594" s="177"/>
      <c r="Y594" s="177"/>
      <c r="Z594" s="177"/>
      <c r="AA594" s="177"/>
      <c r="AB594" s="177"/>
      <c r="AC594" s="177"/>
      <c r="AD594" s="177"/>
      <c r="AE594" s="177"/>
    </row>
    <row r="595" spans="1:31" ht="13.5" thickBot="1">
      <c r="A595" s="202"/>
      <c r="B595" s="202"/>
      <c r="C595" s="202"/>
      <c r="D595" s="202"/>
      <c r="E595" s="202"/>
      <c r="F595" s="202"/>
      <c r="G595" s="202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  <c r="R595" s="177"/>
      <c r="S595" s="177"/>
      <c r="T595" s="177"/>
      <c r="U595" s="177"/>
      <c r="V595" s="177"/>
      <c r="W595" s="177"/>
      <c r="X595" s="177"/>
      <c r="Y595" s="177"/>
      <c r="Z595" s="177"/>
      <c r="AA595" s="177"/>
      <c r="AB595" s="177"/>
      <c r="AC595" s="177"/>
      <c r="AD595" s="177"/>
      <c r="AE595" s="177"/>
    </row>
    <row r="596" spans="1:31" ht="13.5" thickBot="1">
      <c r="A596" s="202"/>
      <c r="B596" s="202"/>
      <c r="C596" s="202"/>
      <c r="D596" s="202"/>
      <c r="E596" s="202"/>
      <c r="F596" s="202"/>
      <c r="G596" s="202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  <c r="R596" s="177"/>
      <c r="S596" s="177"/>
      <c r="T596" s="177"/>
      <c r="U596" s="177"/>
      <c r="V596" s="177"/>
      <c r="W596" s="177"/>
      <c r="X596" s="177"/>
      <c r="Y596" s="177"/>
      <c r="Z596" s="177"/>
      <c r="AA596" s="177"/>
      <c r="AB596" s="177"/>
      <c r="AC596" s="177"/>
      <c r="AD596" s="177"/>
      <c r="AE596" s="177"/>
    </row>
    <row r="597" spans="1:31" ht="13.5" thickBot="1">
      <c r="A597" s="202"/>
      <c r="B597" s="202"/>
      <c r="C597" s="202"/>
      <c r="D597" s="202"/>
      <c r="E597" s="202"/>
      <c r="F597" s="202"/>
      <c r="G597" s="202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  <c r="R597" s="177"/>
      <c r="S597" s="177"/>
      <c r="T597" s="177"/>
      <c r="U597" s="177"/>
      <c r="V597" s="177"/>
      <c r="W597" s="177"/>
      <c r="X597" s="177"/>
      <c r="Y597" s="177"/>
      <c r="Z597" s="177"/>
      <c r="AA597" s="177"/>
      <c r="AB597" s="177"/>
      <c r="AC597" s="177"/>
      <c r="AD597" s="177"/>
      <c r="AE597" s="177"/>
    </row>
    <row r="598" spans="1:31" ht="13.5" thickBot="1">
      <c r="A598" s="202"/>
      <c r="B598" s="202"/>
      <c r="C598" s="202"/>
      <c r="D598" s="202"/>
      <c r="E598" s="202"/>
      <c r="F598" s="202"/>
      <c r="G598" s="202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  <c r="R598" s="177"/>
      <c r="S598" s="177"/>
      <c r="T598" s="177"/>
      <c r="U598" s="177"/>
      <c r="V598" s="177"/>
      <c r="W598" s="177"/>
      <c r="X598" s="177"/>
      <c r="Y598" s="177"/>
      <c r="Z598" s="177"/>
      <c r="AA598" s="177"/>
      <c r="AB598" s="177"/>
      <c r="AC598" s="177"/>
      <c r="AD598" s="177"/>
      <c r="AE598" s="177"/>
    </row>
    <row r="599" spans="1:31" ht="13.5" thickBot="1">
      <c r="A599" s="202"/>
      <c r="B599" s="202"/>
      <c r="C599" s="202"/>
      <c r="D599" s="202"/>
      <c r="E599" s="202"/>
      <c r="F599" s="202"/>
      <c r="G599" s="202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  <c r="R599" s="177"/>
      <c r="S599" s="177"/>
      <c r="T599" s="177"/>
      <c r="U599" s="177"/>
      <c r="V599" s="177"/>
      <c r="W599" s="177"/>
      <c r="X599" s="177"/>
      <c r="Y599" s="177"/>
      <c r="Z599" s="177"/>
      <c r="AA599" s="177"/>
      <c r="AB599" s="177"/>
      <c r="AC599" s="177"/>
      <c r="AD599" s="177"/>
      <c r="AE599" s="177"/>
    </row>
    <row r="600" spans="1:31" ht="13.5" thickBot="1">
      <c r="A600" s="202"/>
      <c r="B600" s="202"/>
      <c r="C600" s="202"/>
      <c r="D600" s="202"/>
      <c r="E600" s="202"/>
      <c r="F600" s="202"/>
      <c r="G600" s="202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  <c r="R600" s="177"/>
      <c r="S600" s="177"/>
      <c r="T600" s="177"/>
      <c r="U600" s="177"/>
      <c r="V600" s="177"/>
      <c r="W600" s="177"/>
      <c r="X600" s="177"/>
      <c r="Y600" s="177"/>
      <c r="Z600" s="177"/>
      <c r="AA600" s="177"/>
      <c r="AB600" s="177"/>
      <c r="AC600" s="177"/>
      <c r="AD600" s="177"/>
      <c r="AE600" s="177"/>
    </row>
    <row r="601" spans="1:31" ht="13.5" thickBot="1">
      <c r="A601" s="202"/>
      <c r="B601" s="202"/>
      <c r="C601" s="202"/>
      <c r="D601" s="202"/>
      <c r="E601" s="202"/>
      <c r="F601" s="202"/>
      <c r="G601" s="202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  <c r="R601" s="177"/>
      <c r="S601" s="177"/>
      <c r="T601" s="177"/>
      <c r="U601" s="177"/>
      <c r="V601" s="177"/>
      <c r="W601" s="177"/>
      <c r="X601" s="177"/>
      <c r="Y601" s="177"/>
      <c r="Z601" s="177"/>
      <c r="AA601" s="177"/>
      <c r="AB601" s="177"/>
      <c r="AC601" s="177"/>
      <c r="AD601" s="177"/>
      <c r="AE601" s="177"/>
    </row>
    <row r="602" spans="1:31" ht="13.5" thickBot="1">
      <c r="A602" s="202"/>
      <c r="B602" s="202"/>
      <c r="C602" s="202"/>
      <c r="D602" s="202"/>
      <c r="E602" s="202"/>
      <c r="F602" s="202"/>
      <c r="G602" s="202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  <c r="R602" s="177"/>
      <c r="S602" s="177"/>
      <c r="T602" s="177"/>
      <c r="U602" s="177"/>
      <c r="V602" s="177"/>
      <c r="W602" s="177"/>
      <c r="X602" s="177"/>
      <c r="Y602" s="177"/>
      <c r="Z602" s="177"/>
      <c r="AA602" s="177"/>
      <c r="AB602" s="177"/>
      <c r="AC602" s="177"/>
      <c r="AD602" s="177"/>
      <c r="AE602" s="177"/>
    </row>
    <row r="603" spans="1:31" ht="13.5" thickBot="1">
      <c r="A603" s="202"/>
      <c r="B603" s="202"/>
      <c r="C603" s="202"/>
      <c r="D603" s="202"/>
      <c r="E603" s="202"/>
      <c r="F603" s="202"/>
      <c r="G603" s="202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  <c r="R603" s="177"/>
      <c r="S603" s="177"/>
      <c r="T603" s="177"/>
      <c r="U603" s="177"/>
      <c r="V603" s="177"/>
      <c r="W603" s="177"/>
      <c r="X603" s="177"/>
      <c r="Y603" s="177"/>
      <c r="Z603" s="177"/>
      <c r="AA603" s="177"/>
      <c r="AB603" s="177"/>
      <c r="AC603" s="177"/>
      <c r="AD603" s="177"/>
      <c r="AE603" s="177"/>
    </row>
    <row r="604" spans="1:31" ht="13.5" thickBot="1">
      <c r="A604" s="202"/>
      <c r="B604" s="202"/>
      <c r="C604" s="202"/>
      <c r="D604" s="202"/>
      <c r="E604" s="202"/>
      <c r="F604" s="202"/>
      <c r="G604" s="202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  <c r="R604" s="177"/>
      <c r="S604" s="177"/>
      <c r="T604" s="177"/>
      <c r="U604" s="177"/>
      <c r="V604" s="177"/>
      <c r="W604" s="177"/>
      <c r="X604" s="177"/>
      <c r="Y604" s="177"/>
      <c r="Z604" s="177"/>
      <c r="AA604" s="177"/>
      <c r="AB604" s="177"/>
      <c r="AC604" s="177"/>
      <c r="AD604" s="177"/>
      <c r="AE604" s="177"/>
    </row>
    <row r="605" spans="1:31" ht="13.5" thickBot="1">
      <c r="A605" s="202"/>
      <c r="B605" s="202"/>
      <c r="C605" s="202"/>
      <c r="D605" s="202"/>
      <c r="E605" s="202"/>
      <c r="F605" s="202"/>
      <c r="G605" s="202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  <c r="R605" s="177"/>
      <c r="S605" s="177"/>
      <c r="T605" s="177"/>
      <c r="U605" s="177"/>
      <c r="V605" s="177"/>
      <c r="W605" s="177"/>
      <c r="X605" s="177"/>
      <c r="Y605" s="177"/>
      <c r="Z605" s="177"/>
      <c r="AA605" s="177"/>
      <c r="AB605" s="177"/>
      <c r="AC605" s="177"/>
      <c r="AD605" s="177"/>
      <c r="AE605" s="177"/>
    </row>
    <row r="606" spans="1:31" ht="13.5" thickBot="1">
      <c r="A606" s="202"/>
      <c r="B606" s="202"/>
      <c r="C606" s="202"/>
      <c r="D606" s="202"/>
      <c r="E606" s="202"/>
      <c r="F606" s="202"/>
      <c r="G606" s="202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  <c r="R606" s="177"/>
      <c r="S606" s="177"/>
      <c r="T606" s="177"/>
      <c r="U606" s="177"/>
      <c r="V606" s="177"/>
      <c r="W606" s="177"/>
      <c r="X606" s="177"/>
      <c r="Y606" s="177"/>
      <c r="Z606" s="177"/>
      <c r="AA606" s="177"/>
      <c r="AB606" s="177"/>
      <c r="AC606" s="177"/>
      <c r="AD606" s="177"/>
      <c r="AE606" s="177"/>
    </row>
    <row r="607" spans="1:31" ht="13.5" thickBot="1">
      <c r="A607" s="202"/>
      <c r="B607" s="202"/>
      <c r="C607" s="202"/>
      <c r="D607" s="202"/>
      <c r="E607" s="202"/>
      <c r="F607" s="202"/>
      <c r="G607" s="202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  <c r="R607" s="177"/>
      <c r="S607" s="177"/>
      <c r="T607" s="177"/>
      <c r="U607" s="177"/>
      <c r="V607" s="177"/>
      <c r="W607" s="177"/>
      <c r="X607" s="177"/>
      <c r="Y607" s="177"/>
      <c r="Z607" s="177"/>
      <c r="AA607" s="177"/>
      <c r="AB607" s="177"/>
      <c r="AC607" s="177"/>
      <c r="AD607" s="177"/>
      <c r="AE607" s="177"/>
    </row>
    <row r="608" spans="1:31" ht="13.5" thickBot="1">
      <c r="A608" s="202"/>
      <c r="B608" s="202"/>
      <c r="C608" s="202"/>
      <c r="D608" s="202"/>
      <c r="E608" s="202"/>
      <c r="F608" s="202"/>
      <c r="G608" s="202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  <c r="R608" s="177"/>
      <c r="S608" s="177"/>
      <c r="T608" s="177"/>
      <c r="U608" s="177"/>
      <c r="V608" s="177"/>
      <c r="W608" s="177"/>
      <c r="X608" s="177"/>
      <c r="Y608" s="177"/>
      <c r="Z608" s="177"/>
      <c r="AA608" s="177"/>
      <c r="AB608" s="177"/>
      <c r="AC608" s="177"/>
      <c r="AD608" s="177"/>
      <c r="AE608" s="177"/>
    </row>
    <row r="609" spans="1:31" ht="13.5" thickBot="1">
      <c r="A609" s="202"/>
      <c r="B609" s="202"/>
      <c r="C609" s="202"/>
      <c r="D609" s="202"/>
      <c r="E609" s="202"/>
      <c r="F609" s="202"/>
      <c r="G609" s="202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  <c r="R609" s="177"/>
      <c r="S609" s="177"/>
      <c r="T609" s="177"/>
      <c r="U609" s="177"/>
      <c r="V609" s="177"/>
      <c r="W609" s="177"/>
      <c r="X609" s="177"/>
      <c r="Y609" s="177"/>
      <c r="Z609" s="177"/>
      <c r="AA609" s="177"/>
      <c r="AB609" s="177"/>
      <c r="AC609" s="177"/>
      <c r="AD609" s="177"/>
      <c r="AE609" s="177"/>
    </row>
    <row r="610" spans="1:31" ht="13.5" thickBot="1">
      <c r="A610" s="202"/>
      <c r="B610" s="202"/>
      <c r="C610" s="202"/>
      <c r="D610" s="202"/>
      <c r="E610" s="202"/>
      <c r="F610" s="202"/>
      <c r="G610" s="202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  <c r="R610" s="177"/>
      <c r="S610" s="177"/>
      <c r="T610" s="177"/>
      <c r="U610" s="177"/>
      <c r="V610" s="177"/>
      <c r="W610" s="177"/>
      <c r="X610" s="177"/>
      <c r="Y610" s="177"/>
      <c r="Z610" s="177"/>
      <c r="AA610" s="177"/>
      <c r="AB610" s="177"/>
      <c r="AC610" s="177"/>
      <c r="AD610" s="177"/>
      <c r="AE610" s="177"/>
    </row>
    <row r="611" spans="1:31" ht="13.5" thickBot="1">
      <c r="A611" s="202"/>
      <c r="B611" s="202"/>
      <c r="C611" s="202"/>
      <c r="D611" s="202"/>
      <c r="E611" s="202"/>
      <c r="F611" s="202"/>
      <c r="G611" s="202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  <c r="R611" s="177"/>
      <c r="S611" s="177"/>
      <c r="T611" s="177"/>
      <c r="U611" s="177"/>
      <c r="V611" s="177"/>
      <c r="W611" s="177"/>
      <c r="X611" s="177"/>
      <c r="Y611" s="177"/>
      <c r="Z611" s="177"/>
      <c r="AA611" s="177"/>
      <c r="AB611" s="177"/>
      <c r="AC611" s="177"/>
      <c r="AD611" s="177"/>
      <c r="AE611" s="177"/>
    </row>
    <row r="612" spans="1:31" ht="13.5" thickBot="1">
      <c r="A612" s="202"/>
      <c r="B612" s="202"/>
      <c r="C612" s="202"/>
      <c r="D612" s="202"/>
      <c r="E612" s="202"/>
      <c r="F612" s="202"/>
      <c r="G612" s="202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  <c r="R612" s="177"/>
      <c r="S612" s="177"/>
      <c r="T612" s="177"/>
      <c r="U612" s="177"/>
      <c r="V612" s="177"/>
      <c r="W612" s="177"/>
      <c r="X612" s="177"/>
      <c r="Y612" s="177"/>
      <c r="Z612" s="177"/>
      <c r="AA612" s="177"/>
      <c r="AB612" s="177"/>
      <c r="AC612" s="177"/>
      <c r="AD612" s="177"/>
      <c r="AE612" s="177"/>
    </row>
    <row r="613" spans="1:31" ht="13.5" thickBot="1">
      <c r="A613" s="202"/>
      <c r="B613" s="202"/>
      <c r="C613" s="202"/>
      <c r="D613" s="202"/>
      <c r="E613" s="202"/>
      <c r="F613" s="202"/>
      <c r="G613" s="202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</row>
    <row r="614" spans="1:31" ht="13.5" thickBot="1">
      <c r="A614" s="202"/>
      <c r="B614" s="202"/>
      <c r="C614" s="202"/>
      <c r="D614" s="202"/>
      <c r="E614" s="202"/>
      <c r="F614" s="202"/>
      <c r="G614" s="202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  <c r="R614" s="177"/>
      <c r="S614" s="177"/>
      <c r="T614" s="177"/>
      <c r="U614" s="177"/>
      <c r="V614" s="177"/>
      <c r="W614" s="177"/>
      <c r="X614" s="177"/>
      <c r="Y614" s="177"/>
      <c r="Z614" s="177"/>
      <c r="AA614" s="177"/>
      <c r="AB614" s="177"/>
      <c r="AC614" s="177"/>
      <c r="AD614" s="177"/>
      <c r="AE614" s="177"/>
    </row>
    <row r="615" spans="1:31" ht="13.5" thickBot="1">
      <c r="A615" s="202"/>
      <c r="B615" s="202"/>
      <c r="C615" s="202"/>
      <c r="D615" s="202"/>
      <c r="E615" s="202"/>
      <c r="F615" s="202"/>
      <c r="G615" s="202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  <c r="R615" s="177"/>
      <c r="S615" s="177"/>
      <c r="T615" s="177"/>
      <c r="U615" s="177"/>
      <c r="V615" s="177"/>
      <c r="W615" s="177"/>
      <c r="X615" s="177"/>
      <c r="Y615" s="177"/>
      <c r="Z615" s="177"/>
      <c r="AA615" s="177"/>
      <c r="AB615" s="177"/>
      <c r="AC615" s="177"/>
      <c r="AD615" s="177"/>
      <c r="AE615" s="177"/>
    </row>
    <row r="616" spans="1:31" ht="13.5" thickBot="1">
      <c r="A616" s="202"/>
      <c r="B616" s="202"/>
      <c r="C616" s="202"/>
      <c r="D616" s="202"/>
      <c r="E616" s="202"/>
      <c r="F616" s="202"/>
      <c r="G616" s="202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  <c r="R616" s="177"/>
      <c r="S616" s="177"/>
      <c r="T616" s="177"/>
      <c r="U616" s="177"/>
      <c r="V616" s="177"/>
      <c r="W616" s="177"/>
      <c r="X616" s="177"/>
      <c r="Y616" s="177"/>
      <c r="Z616" s="177"/>
      <c r="AA616" s="177"/>
      <c r="AB616" s="177"/>
      <c r="AC616" s="177"/>
      <c r="AD616" s="177"/>
      <c r="AE616" s="177"/>
    </row>
    <row r="617" spans="1:31" ht="13.5" thickBot="1">
      <c r="A617" s="202"/>
      <c r="B617" s="202"/>
      <c r="C617" s="202"/>
      <c r="D617" s="202"/>
      <c r="E617" s="202"/>
      <c r="F617" s="202"/>
      <c r="G617" s="202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  <c r="R617" s="177"/>
      <c r="S617" s="177"/>
      <c r="T617" s="177"/>
      <c r="U617" s="177"/>
      <c r="V617" s="177"/>
      <c r="W617" s="177"/>
      <c r="X617" s="177"/>
      <c r="Y617" s="177"/>
      <c r="Z617" s="177"/>
      <c r="AA617" s="177"/>
      <c r="AB617" s="177"/>
      <c r="AC617" s="177"/>
      <c r="AD617" s="177"/>
      <c r="AE617" s="177"/>
    </row>
    <row r="618" spans="1:31" ht="13.5" thickBot="1">
      <c r="A618" s="202"/>
      <c r="B618" s="202"/>
      <c r="C618" s="202"/>
      <c r="D618" s="202"/>
      <c r="E618" s="202"/>
      <c r="F618" s="202"/>
      <c r="G618" s="202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  <c r="R618" s="177"/>
      <c r="S618" s="177"/>
      <c r="T618" s="177"/>
      <c r="U618" s="177"/>
      <c r="V618" s="177"/>
      <c r="W618" s="177"/>
      <c r="X618" s="177"/>
      <c r="Y618" s="177"/>
      <c r="Z618" s="177"/>
      <c r="AA618" s="177"/>
      <c r="AB618" s="177"/>
      <c r="AC618" s="177"/>
      <c r="AD618" s="177"/>
      <c r="AE618" s="177"/>
    </row>
    <row r="619" spans="1:31" ht="13.5" thickBot="1">
      <c r="A619" s="202"/>
      <c r="B619" s="202"/>
      <c r="C619" s="202"/>
      <c r="D619" s="202"/>
      <c r="E619" s="202"/>
      <c r="F619" s="202"/>
      <c r="G619" s="202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  <c r="R619" s="177"/>
      <c r="S619" s="177"/>
      <c r="T619" s="177"/>
      <c r="U619" s="177"/>
      <c r="V619" s="177"/>
      <c r="W619" s="177"/>
      <c r="X619" s="177"/>
      <c r="Y619" s="177"/>
      <c r="Z619" s="177"/>
      <c r="AA619" s="177"/>
      <c r="AB619" s="177"/>
      <c r="AC619" s="177"/>
      <c r="AD619" s="177"/>
      <c r="AE619" s="177"/>
    </row>
    <row r="620" spans="1:31" ht="13.5" thickBot="1">
      <c r="A620" s="202"/>
      <c r="B620" s="202"/>
      <c r="C620" s="202"/>
      <c r="D620" s="202"/>
      <c r="E620" s="202"/>
      <c r="F620" s="202"/>
      <c r="G620" s="202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  <c r="R620" s="177"/>
      <c r="S620" s="177"/>
      <c r="T620" s="177"/>
      <c r="U620" s="177"/>
      <c r="V620" s="177"/>
      <c r="W620" s="177"/>
      <c r="X620" s="177"/>
      <c r="Y620" s="177"/>
      <c r="Z620" s="177"/>
      <c r="AA620" s="177"/>
      <c r="AB620" s="177"/>
      <c r="AC620" s="177"/>
      <c r="AD620" s="177"/>
      <c r="AE620" s="177"/>
    </row>
    <row r="621" spans="1:31" ht="13.5" thickBot="1">
      <c r="A621" s="202"/>
      <c r="B621" s="202"/>
      <c r="C621" s="202"/>
      <c r="D621" s="202"/>
      <c r="E621" s="202"/>
      <c r="F621" s="202"/>
      <c r="G621" s="202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  <c r="R621" s="177"/>
      <c r="S621" s="177"/>
      <c r="T621" s="177"/>
      <c r="U621" s="177"/>
      <c r="V621" s="177"/>
      <c r="W621" s="177"/>
      <c r="X621" s="177"/>
      <c r="Y621" s="177"/>
      <c r="Z621" s="177"/>
      <c r="AA621" s="177"/>
      <c r="AB621" s="177"/>
      <c r="AC621" s="177"/>
      <c r="AD621" s="177"/>
      <c r="AE621" s="177"/>
    </row>
    <row r="622" spans="1:31" ht="13.5" thickBot="1">
      <c r="A622" s="202"/>
      <c r="B622" s="202"/>
      <c r="C622" s="202"/>
      <c r="D622" s="202"/>
      <c r="E622" s="202"/>
      <c r="F622" s="202"/>
      <c r="G622" s="202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  <c r="R622" s="177"/>
      <c r="S622" s="177"/>
      <c r="T622" s="177"/>
      <c r="U622" s="177"/>
      <c r="V622" s="177"/>
      <c r="W622" s="177"/>
      <c r="X622" s="177"/>
      <c r="Y622" s="177"/>
      <c r="Z622" s="177"/>
      <c r="AA622" s="177"/>
      <c r="AB622" s="177"/>
      <c r="AC622" s="177"/>
      <c r="AD622" s="177"/>
      <c r="AE622" s="177"/>
    </row>
    <row r="623" spans="1:31" ht="13.5" thickBot="1">
      <c r="A623" s="202"/>
      <c r="B623" s="202"/>
      <c r="C623" s="202"/>
      <c r="D623" s="202"/>
      <c r="E623" s="202"/>
      <c r="F623" s="202"/>
      <c r="G623" s="202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  <c r="R623" s="177"/>
      <c r="S623" s="177"/>
      <c r="T623" s="177"/>
      <c r="U623" s="177"/>
      <c r="V623" s="177"/>
      <c r="W623" s="177"/>
      <c r="X623" s="177"/>
      <c r="Y623" s="177"/>
      <c r="Z623" s="177"/>
      <c r="AA623" s="177"/>
      <c r="AB623" s="177"/>
      <c r="AC623" s="177"/>
      <c r="AD623" s="177"/>
      <c r="AE623" s="177"/>
    </row>
    <row r="624" spans="1:31" ht="13.5" thickBot="1">
      <c r="A624" s="202"/>
      <c r="B624" s="202"/>
      <c r="C624" s="202"/>
      <c r="D624" s="202"/>
      <c r="E624" s="202"/>
      <c r="F624" s="202"/>
      <c r="G624" s="202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  <c r="R624" s="177"/>
      <c r="S624" s="177"/>
      <c r="T624" s="177"/>
      <c r="U624" s="177"/>
      <c r="V624" s="177"/>
      <c r="W624" s="177"/>
      <c r="X624" s="177"/>
      <c r="Y624" s="177"/>
      <c r="Z624" s="177"/>
      <c r="AA624" s="177"/>
      <c r="AB624" s="177"/>
      <c r="AC624" s="177"/>
      <c r="AD624" s="177"/>
      <c r="AE624" s="177"/>
    </row>
    <row r="625" spans="1:31" ht="13.5" thickBot="1">
      <c r="A625" s="202"/>
      <c r="B625" s="202"/>
      <c r="C625" s="202"/>
      <c r="D625" s="202"/>
      <c r="E625" s="202"/>
      <c r="F625" s="202"/>
      <c r="G625" s="202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  <c r="R625" s="177"/>
      <c r="S625" s="177"/>
      <c r="T625" s="177"/>
      <c r="U625" s="177"/>
      <c r="V625" s="177"/>
      <c r="W625" s="177"/>
      <c r="X625" s="177"/>
      <c r="Y625" s="177"/>
      <c r="Z625" s="177"/>
      <c r="AA625" s="177"/>
      <c r="AB625" s="177"/>
      <c r="AC625" s="177"/>
      <c r="AD625" s="177"/>
      <c r="AE625" s="177"/>
    </row>
    <row r="626" spans="1:31" ht="13.5" thickBot="1">
      <c r="A626" s="202"/>
      <c r="B626" s="202"/>
      <c r="C626" s="202"/>
      <c r="D626" s="202"/>
      <c r="E626" s="202"/>
      <c r="F626" s="202"/>
      <c r="G626" s="202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  <c r="R626" s="177"/>
      <c r="S626" s="177"/>
      <c r="T626" s="177"/>
      <c r="U626" s="177"/>
      <c r="V626" s="177"/>
      <c r="W626" s="177"/>
      <c r="X626" s="177"/>
      <c r="Y626" s="177"/>
      <c r="Z626" s="177"/>
      <c r="AA626" s="177"/>
      <c r="AB626" s="177"/>
      <c r="AC626" s="177"/>
      <c r="AD626" s="177"/>
      <c r="AE626" s="177"/>
    </row>
    <row r="627" spans="1:31" ht="13.5" thickBot="1">
      <c r="A627" s="202"/>
      <c r="B627" s="202"/>
      <c r="C627" s="202"/>
      <c r="D627" s="202"/>
      <c r="E627" s="202"/>
      <c r="F627" s="202"/>
      <c r="G627" s="202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  <c r="R627" s="177"/>
      <c r="S627" s="177"/>
      <c r="T627" s="177"/>
      <c r="U627" s="177"/>
      <c r="V627" s="177"/>
      <c r="W627" s="177"/>
      <c r="X627" s="177"/>
      <c r="Y627" s="177"/>
      <c r="Z627" s="177"/>
      <c r="AA627" s="177"/>
      <c r="AB627" s="177"/>
      <c r="AC627" s="177"/>
      <c r="AD627" s="177"/>
      <c r="AE627" s="177"/>
    </row>
    <row r="628" spans="1:31" ht="13.5" thickBot="1">
      <c r="A628" s="202"/>
      <c r="B628" s="202"/>
      <c r="C628" s="202"/>
      <c r="D628" s="202"/>
      <c r="E628" s="202"/>
      <c r="F628" s="202"/>
      <c r="G628" s="202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  <c r="R628" s="177"/>
      <c r="S628" s="177"/>
      <c r="T628" s="177"/>
      <c r="U628" s="177"/>
      <c r="V628" s="177"/>
      <c r="W628" s="177"/>
      <c r="X628" s="177"/>
      <c r="Y628" s="177"/>
      <c r="Z628" s="177"/>
      <c r="AA628" s="177"/>
      <c r="AB628" s="177"/>
      <c r="AC628" s="177"/>
      <c r="AD628" s="177"/>
      <c r="AE628" s="177"/>
    </row>
    <row r="629" spans="1:31" ht="13.5" thickBot="1">
      <c r="A629" s="202"/>
      <c r="B629" s="202"/>
      <c r="C629" s="202"/>
      <c r="D629" s="202"/>
      <c r="E629" s="202"/>
      <c r="F629" s="202"/>
      <c r="G629" s="202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  <c r="R629" s="177"/>
      <c r="S629" s="177"/>
      <c r="T629" s="177"/>
      <c r="U629" s="177"/>
      <c r="V629" s="177"/>
      <c r="W629" s="177"/>
      <c r="X629" s="177"/>
      <c r="Y629" s="177"/>
      <c r="Z629" s="177"/>
      <c r="AA629" s="177"/>
      <c r="AB629" s="177"/>
      <c r="AC629" s="177"/>
      <c r="AD629" s="177"/>
      <c r="AE629" s="177"/>
    </row>
    <row r="630" spans="1:31" ht="13.5" thickBot="1">
      <c r="A630" s="202"/>
      <c r="B630" s="202"/>
      <c r="C630" s="202"/>
      <c r="D630" s="202"/>
      <c r="E630" s="202"/>
      <c r="F630" s="202"/>
      <c r="G630" s="202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  <c r="R630" s="177"/>
      <c r="S630" s="177"/>
      <c r="T630" s="177"/>
      <c r="U630" s="177"/>
      <c r="V630" s="177"/>
      <c r="W630" s="177"/>
      <c r="X630" s="177"/>
      <c r="Y630" s="177"/>
      <c r="Z630" s="177"/>
      <c r="AA630" s="177"/>
      <c r="AB630" s="177"/>
      <c r="AC630" s="177"/>
      <c r="AD630" s="177"/>
      <c r="AE630" s="177"/>
    </row>
    <row r="631" spans="1:31" ht="13.5" thickBot="1">
      <c r="A631" s="202"/>
      <c r="B631" s="202"/>
      <c r="C631" s="202"/>
      <c r="D631" s="202"/>
      <c r="E631" s="202"/>
      <c r="F631" s="202"/>
      <c r="G631" s="202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  <c r="R631" s="177"/>
      <c r="S631" s="177"/>
      <c r="T631" s="177"/>
      <c r="U631" s="177"/>
      <c r="V631" s="177"/>
      <c r="W631" s="177"/>
      <c r="X631" s="177"/>
      <c r="Y631" s="177"/>
      <c r="Z631" s="177"/>
      <c r="AA631" s="177"/>
      <c r="AB631" s="177"/>
      <c r="AC631" s="177"/>
      <c r="AD631" s="177"/>
      <c r="AE631" s="177"/>
    </row>
    <row r="632" spans="1:31" ht="13.5" thickBot="1">
      <c r="A632" s="202"/>
      <c r="B632" s="202"/>
      <c r="C632" s="202"/>
      <c r="D632" s="202"/>
      <c r="E632" s="202"/>
      <c r="F632" s="202"/>
      <c r="G632" s="202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</row>
    <row r="633" spans="1:31" ht="13.5" thickBot="1">
      <c r="A633" s="202"/>
      <c r="B633" s="202"/>
      <c r="C633" s="202"/>
      <c r="D633" s="202"/>
      <c r="E633" s="202"/>
      <c r="F633" s="202"/>
      <c r="G633" s="202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  <c r="R633" s="177"/>
      <c r="S633" s="177"/>
      <c r="T633" s="177"/>
      <c r="U633" s="177"/>
      <c r="V633" s="177"/>
      <c r="W633" s="177"/>
      <c r="X633" s="177"/>
      <c r="Y633" s="177"/>
      <c r="Z633" s="177"/>
      <c r="AA633" s="177"/>
      <c r="AB633" s="177"/>
      <c r="AC633" s="177"/>
      <c r="AD633" s="177"/>
      <c r="AE633" s="177"/>
    </row>
    <row r="634" spans="1:31" ht="13.5" thickBot="1">
      <c r="A634" s="202"/>
      <c r="B634" s="202"/>
      <c r="C634" s="202"/>
      <c r="D634" s="202"/>
      <c r="E634" s="202"/>
      <c r="F634" s="202"/>
      <c r="G634" s="202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  <c r="R634" s="177"/>
      <c r="S634" s="177"/>
      <c r="T634" s="177"/>
      <c r="U634" s="177"/>
      <c r="V634" s="177"/>
      <c r="W634" s="177"/>
      <c r="X634" s="177"/>
      <c r="Y634" s="177"/>
      <c r="Z634" s="177"/>
      <c r="AA634" s="177"/>
      <c r="AB634" s="177"/>
      <c r="AC634" s="177"/>
      <c r="AD634" s="177"/>
      <c r="AE634" s="177"/>
    </row>
    <row r="635" spans="1:31" ht="13.5" thickBot="1">
      <c r="A635" s="202"/>
      <c r="B635" s="202"/>
      <c r="C635" s="202"/>
      <c r="D635" s="202"/>
      <c r="E635" s="202"/>
      <c r="F635" s="202"/>
      <c r="G635" s="202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  <c r="R635" s="177"/>
      <c r="S635" s="177"/>
      <c r="T635" s="177"/>
      <c r="U635" s="177"/>
      <c r="V635" s="177"/>
      <c r="W635" s="177"/>
      <c r="X635" s="177"/>
      <c r="Y635" s="177"/>
      <c r="Z635" s="177"/>
      <c r="AA635" s="177"/>
      <c r="AB635" s="177"/>
      <c r="AC635" s="177"/>
      <c r="AD635" s="177"/>
      <c r="AE635" s="177"/>
    </row>
    <row r="636" spans="1:31" ht="13.5" thickBot="1">
      <c r="A636" s="202"/>
      <c r="B636" s="202"/>
      <c r="C636" s="202"/>
      <c r="D636" s="202"/>
      <c r="E636" s="202"/>
      <c r="F636" s="202"/>
      <c r="G636" s="202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  <c r="R636" s="177"/>
      <c r="S636" s="177"/>
      <c r="T636" s="177"/>
      <c r="U636" s="177"/>
      <c r="V636" s="177"/>
      <c r="W636" s="177"/>
      <c r="X636" s="177"/>
      <c r="Y636" s="177"/>
      <c r="Z636" s="177"/>
      <c r="AA636" s="177"/>
      <c r="AB636" s="177"/>
      <c r="AC636" s="177"/>
      <c r="AD636" s="177"/>
      <c r="AE636" s="177"/>
    </row>
    <row r="637" spans="1:31" ht="13.5" thickBot="1">
      <c r="A637" s="202"/>
      <c r="B637" s="202"/>
      <c r="C637" s="202"/>
      <c r="D637" s="202"/>
      <c r="E637" s="202"/>
      <c r="F637" s="202"/>
      <c r="G637" s="202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  <c r="R637" s="177"/>
      <c r="S637" s="177"/>
      <c r="T637" s="177"/>
      <c r="U637" s="177"/>
      <c r="V637" s="177"/>
      <c r="W637" s="177"/>
      <c r="X637" s="177"/>
      <c r="Y637" s="177"/>
      <c r="Z637" s="177"/>
      <c r="AA637" s="177"/>
      <c r="AB637" s="177"/>
      <c r="AC637" s="177"/>
      <c r="AD637" s="177"/>
      <c r="AE637" s="177"/>
    </row>
    <row r="638" spans="1:31" ht="13.5" thickBot="1">
      <c r="A638" s="202"/>
      <c r="B638" s="202"/>
      <c r="C638" s="202"/>
      <c r="D638" s="202"/>
      <c r="E638" s="202"/>
      <c r="F638" s="202"/>
      <c r="G638" s="202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  <c r="R638" s="177"/>
      <c r="S638" s="177"/>
      <c r="T638" s="177"/>
      <c r="U638" s="177"/>
      <c r="V638" s="177"/>
      <c r="W638" s="177"/>
      <c r="X638" s="177"/>
      <c r="Y638" s="177"/>
      <c r="Z638" s="177"/>
      <c r="AA638" s="177"/>
      <c r="AB638" s="177"/>
      <c r="AC638" s="177"/>
      <c r="AD638" s="177"/>
      <c r="AE638" s="177"/>
    </row>
    <row r="639" spans="1:31" ht="13.5" thickBot="1">
      <c r="A639" s="202"/>
      <c r="B639" s="202"/>
      <c r="C639" s="202"/>
      <c r="D639" s="202"/>
      <c r="E639" s="202"/>
      <c r="F639" s="202"/>
      <c r="G639" s="202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  <c r="R639" s="177"/>
      <c r="S639" s="177"/>
      <c r="T639" s="177"/>
      <c r="U639" s="177"/>
      <c r="V639" s="177"/>
      <c r="W639" s="177"/>
      <c r="X639" s="177"/>
      <c r="Y639" s="177"/>
      <c r="Z639" s="177"/>
      <c r="AA639" s="177"/>
      <c r="AB639" s="177"/>
      <c r="AC639" s="177"/>
      <c r="AD639" s="177"/>
      <c r="AE639" s="177"/>
    </row>
    <row r="640" spans="1:31" ht="13.5" thickBot="1">
      <c r="A640" s="202"/>
      <c r="B640" s="202"/>
      <c r="C640" s="202"/>
      <c r="D640" s="202"/>
      <c r="E640" s="202"/>
      <c r="F640" s="202"/>
      <c r="G640" s="202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  <c r="R640" s="177"/>
      <c r="S640" s="177"/>
      <c r="T640" s="177"/>
      <c r="U640" s="177"/>
      <c r="V640" s="177"/>
      <c r="W640" s="177"/>
      <c r="X640" s="177"/>
      <c r="Y640" s="177"/>
      <c r="Z640" s="177"/>
      <c r="AA640" s="177"/>
      <c r="AB640" s="177"/>
      <c r="AC640" s="177"/>
      <c r="AD640" s="177"/>
      <c r="AE640" s="177"/>
    </row>
    <row r="641" spans="1:31" ht="13.5" thickBot="1">
      <c r="A641" s="202"/>
      <c r="B641" s="202"/>
      <c r="C641" s="202"/>
      <c r="D641" s="202"/>
      <c r="E641" s="202"/>
      <c r="F641" s="202"/>
      <c r="G641" s="202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  <c r="R641" s="177"/>
      <c r="S641" s="177"/>
      <c r="T641" s="177"/>
      <c r="U641" s="177"/>
      <c r="V641" s="177"/>
      <c r="W641" s="177"/>
      <c r="X641" s="177"/>
      <c r="Y641" s="177"/>
      <c r="Z641" s="177"/>
      <c r="AA641" s="177"/>
      <c r="AB641" s="177"/>
      <c r="AC641" s="177"/>
      <c r="AD641" s="177"/>
      <c r="AE641" s="177"/>
    </row>
    <row r="642" spans="1:31" ht="13.5" thickBot="1">
      <c r="A642" s="202"/>
      <c r="B642" s="202"/>
      <c r="C642" s="202"/>
      <c r="D642" s="202"/>
      <c r="E642" s="202"/>
      <c r="F642" s="202"/>
      <c r="G642" s="202"/>
      <c r="H642" s="177"/>
      <c r="I642" s="177"/>
      <c r="J642" s="177"/>
      <c r="K642" s="177"/>
      <c r="L642" s="177"/>
      <c r="M642" s="177"/>
      <c r="N642" s="177"/>
      <c r="O642" s="177"/>
      <c r="P642" s="177"/>
      <c r="Q642" s="177"/>
      <c r="R642" s="177"/>
      <c r="S642" s="177"/>
      <c r="T642" s="177"/>
      <c r="U642" s="177"/>
      <c r="V642" s="177"/>
      <c r="W642" s="177"/>
      <c r="X642" s="177"/>
      <c r="Y642" s="177"/>
      <c r="Z642" s="177"/>
      <c r="AA642" s="177"/>
      <c r="AB642" s="177"/>
      <c r="AC642" s="177"/>
      <c r="AD642" s="177"/>
      <c r="AE642" s="177"/>
    </row>
    <row r="643" spans="1:31" ht="13.5" thickBot="1">
      <c r="A643" s="202"/>
      <c r="B643" s="202"/>
      <c r="C643" s="202"/>
      <c r="D643" s="202"/>
      <c r="E643" s="202"/>
      <c r="F643" s="202"/>
      <c r="G643" s="202"/>
      <c r="H643" s="177"/>
      <c r="I643" s="177"/>
      <c r="J643" s="177"/>
      <c r="K643" s="177"/>
      <c r="L643" s="177"/>
      <c r="M643" s="177"/>
      <c r="N643" s="177"/>
      <c r="O643" s="177"/>
      <c r="P643" s="177"/>
      <c r="Q643" s="177"/>
      <c r="R643" s="177"/>
      <c r="S643" s="177"/>
      <c r="T643" s="177"/>
      <c r="U643" s="177"/>
      <c r="V643" s="177"/>
      <c r="W643" s="177"/>
      <c r="X643" s="177"/>
      <c r="Y643" s="177"/>
      <c r="Z643" s="177"/>
      <c r="AA643" s="177"/>
      <c r="AB643" s="177"/>
      <c r="AC643" s="177"/>
      <c r="AD643" s="177"/>
      <c r="AE643" s="177"/>
    </row>
    <row r="644" spans="1:31" ht="13.5" thickBot="1">
      <c r="A644" s="202"/>
      <c r="B644" s="202"/>
      <c r="C644" s="202"/>
      <c r="D644" s="202"/>
      <c r="E644" s="202"/>
      <c r="F644" s="202"/>
      <c r="G644" s="202"/>
      <c r="H644" s="177"/>
      <c r="I644" s="177"/>
      <c r="J644" s="177"/>
      <c r="K644" s="177"/>
      <c r="L644" s="177"/>
      <c r="M644" s="177"/>
      <c r="N644" s="177"/>
      <c r="O644" s="177"/>
      <c r="P644" s="177"/>
      <c r="Q644" s="177"/>
      <c r="R644" s="177"/>
      <c r="S644" s="177"/>
      <c r="T644" s="177"/>
      <c r="U644" s="177"/>
      <c r="V644" s="177"/>
      <c r="W644" s="177"/>
      <c r="X644" s="177"/>
      <c r="Y644" s="177"/>
      <c r="Z644" s="177"/>
      <c r="AA644" s="177"/>
      <c r="AB644" s="177"/>
      <c r="AC644" s="177"/>
      <c r="AD644" s="177"/>
      <c r="AE644" s="177"/>
    </row>
    <row r="645" spans="1:31" ht="13.5" thickBot="1">
      <c r="A645" s="202"/>
      <c r="B645" s="202"/>
      <c r="C645" s="202"/>
      <c r="D645" s="202"/>
      <c r="E645" s="202"/>
      <c r="F645" s="202"/>
      <c r="G645" s="202"/>
      <c r="H645" s="177"/>
      <c r="I645" s="177"/>
      <c r="J645" s="177"/>
      <c r="K645" s="177"/>
      <c r="L645" s="177"/>
      <c r="M645" s="177"/>
      <c r="N645" s="177"/>
      <c r="O645" s="177"/>
      <c r="P645" s="177"/>
      <c r="Q645" s="177"/>
      <c r="R645" s="177"/>
      <c r="S645" s="177"/>
      <c r="T645" s="177"/>
      <c r="U645" s="177"/>
      <c r="V645" s="177"/>
      <c r="W645" s="177"/>
      <c r="X645" s="177"/>
      <c r="Y645" s="177"/>
      <c r="Z645" s="177"/>
      <c r="AA645" s="177"/>
      <c r="AB645" s="177"/>
      <c r="AC645" s="177"/>
      <c r="AD645" s="177"/>
      <c r="AE645" s="177"/>
    </row>
    <row r="646" spans="1:31" ht="13.5" thickBot="1">
      <c r="A646" s="202"/>
      <c r="B646" s="202"/>
      <c r="C646" s="202"/>
      <c r="D646" s="202"/>
      <c r="E646" s="202"/>
      <c r="F646" s="202"/>
      <c r="G646" s="202"/>
      <c r="H646" s="177"/>
      <c r="I646" s="177"/>
      <c r="J646" s="177"/>
      <c r="K646" s="177"/>
      <c r="L646" s="177"/>
      <c r="M646" s="177"/>
      <c r="N646" s="177"/>
      <c r="O646" s="177"/>
      <c r="P646" s="177"/>
      <c r="Q646" s="177"/>
      <c r="R646" s="177"/>
      <c r="S646" s="177"/>
      <c r="T646" s="177"/>
      <c r="U646" s="177"/>
      <c r="V646" s="177"/>
      <c r="W646" s="177"/>
      <c r="X646" s="177"/>
      <c r="Y646" s="177"/>
      <c r="Z646" s="177"/>
      <c r="AA646" s="177"/>
      <c r="AB646" s="177"/>
      <c r="AC646" s="177"/>
      <c r="AD646" s="177"/>
      <c r="AE646" s="177"/>
    </row>
    <row r="647" spans="1:31" ht="13.5" thickBot="1">
      <c r="A647" s="202"/>
      <c r="B647" s="202"/>
      <c r="C647" s="202"/>
      <c r="D647" s="202"/>
      <c r="E647" s="202"/>
      <c r="F647" s="202"/>
      <c r="G647" s="202"/>
      <c r="H647" s="177"/>
      <c r="I647" s="177"/>
      <c r="J647" s="177"/>
      <c r="K647" s="177"/>
      <c r="L647" s="177"/>
      <c r="M647" s="177"/>
      <c r="N647" s="177"/>
      <c r="O647" s="177"/>
      <c r="P647" s="177"/>
      <c r="Q647" s="177"/>
      <c r="R647" s="177"/>
      <c r="S647" s="177"/>
      <c r="T647" s="177"/>
      <c r="U647" s="177"/>
      <c r="V647" s="177"/>
      <c r="W647" s="177"/>
      <c r="X647" s="177"/>
      <c r="Y647" s="177"/>
      <c r="Z647" s="177"/>
      <c r="AA647" s="177"/>
      <c r="AB647" s="177"/>
      <c r="AC647" s="177"/>
      <c r="AD647" s="177"/>
      <c r="AE647" s="177"/>
    </row>
    <row r="648" spans="1:31" ht="13.5" thickBot="1">
      <c r="A648" s="202"/>
      <c r="B648" s="202"/>
      <c r="C648" s="202"/>
      <c r="D648" s="202"/>
      <c r="E648" s="202"/>
      <c r="F648" s="202"/>
      <c r="G648" s="202"/>
      <c r="H648" s="177"/>
      <c r="I648" s="177"/>
      <c r="J648" s="177"/>
      <c r="K648" s="177"/>
      <c r="L648" s="177"/>
      <c r="M648" s="177"/>
      <c r="N648" s="177"/>
      <c r="O648" s="177"/>
      <c r="P648" s="177"/>
      <c r="Q648" s="177"/>
      <c r="R648" s="177"/>
      <c r="S648" s="177"/>
      <c r="T648" s="177"/>
      <c r="U648" s="177"/>
      <c r="V648" s="177"/>
      <c r="W648" s="177"/>
      <c r="X648" s="177"/>
      <c r="Y648" s="177"/>
      <c r="Z648" s="177"/>
      <c r="AA648" s="177"/>
      <c r="AB648" s="177"/>
      <c r="AC648" s="177"/>
      <c r="AD648" s="177"/>
      <c r="AE648" s="177"/>
    </row>
    <row r="649" spans="1:31" ht="13.5" thickBot="1">
      <c r="A649" s="202"/>
      <c r="B649" s="202"/>
      <c r="C649" s="202"/>
      <c r="D649" s="202"/>
      <c r="E649" s="202"/>
      <c r="F649" s="202"/>
      <c r="G649" s="202"/>
      <c r="H649" s="177"/>
      <c r="I649" s="177"/>
      <c r="J649" s="177"/>
      <c r="K649" s="177"/>
      <c r="L649" s="177"/>
      <c r="M649" s="177"/>
      <c r="N649" s="177"/>
      <c r="O649" s="177"/>
      <c r="P649" s="177"/>
      <c r="Q649" s="177"/>
      <c r="R649" s="177"/>
      <c r="S649" s="177"/>
      <c r="T649" s="177"/>
      <c r="U649" s="177"/>
      <c r="V649" s="177"/>
      <c r="W649" s="177"/>
      <c r="X649" s="177"/>
      <c r="Y649" s="177"/>
      <c r="Z649" s="177"/>
      <c r="AA649" s="177"/>
      <c r="AB649" s="177"/>
      <c r="AC649" s="177"/>
      <c r="AD649" s="177"/>
      <c r="AE649" s="177"/>
    </row>
    <row r="650" spans="1:31" ht="13.5" thickBot="1">
      <c r="A650" s="202"/>
      <c r="B650" s="202"/>
      <c r="C650" s="202"/>
      <c r="D650" s="202"/>
      <c r="E650" s="202"/>
      <c r="F650" s="202"/>
      <c r="G650" s="202"/>
      <c r="H650" s="177"/>
      <c r="I650" s="177"/>
      <c r="J650" s="177"/>
      <c r="K650" s="177"/>
      <c r="L650" s="177"/>
      <c r="M650" s="177"/>
      <c r="N650" s="177"/>
      <c r="O650" s="177"/>
      <c r="P650" s="177"/>
      <c r="Q650" s="177"/>
      <c r="R650" s="177"/>
      <c r="S650" s="177"/>
      <c r="T650" s="177"/>
      <c r="U650" s="177"/>
      <c r="V650" s="177"/>
      <c r="W650" s="177"/>
      <c r="X650" s="177"/>
      <c r="Y650" s="177"/>
      <c r="Z650" s="177"/>
      <c r="AA650" s="177"/>
      <c r="AB650" s="177"/>
      <c r="AC650" s="177"/>
      <c r="AD650" s="177"/>
      <c r="AE650" s="177"/>
    </row>
    <row r="651" spans="1:31" ht="13.5" thickBot="1">
      <c r="A651" s="202"/>
      <c r="B651" s="202"/>
      <c r="C651" s="202"/>
      <c r="D651" s="202"/>
      <c r="E651" s="202"/>
      <c r="F651" s="202"/>
      <c r="G651" s="202"/>
      <c r="H651" s="177"/>
      <c r="I651" s="177"/>
      <c r="J651" s="177"/>
      <c r="K651" s="177"/>
      <c r="L651" s="177"/>
      <c r="M651" s="177"/>
      <c r="N651" s="177"/>
      <c r="O651" s="177"/>
      <c r="P651" s="177"/>
      <c r="Q651" s="177"/>
      <c r="R651" s="177"/>
      <c r="S651" s="177"/>
      <c r="T651" s="177"/>
      <c r="U651" s="177"/>
      <c r="V651" s="177"/>
      <c r="W651" s="177"/>
      <c r="X651" s="177"/>
      <c r="Y651" s="177"/>
      <c r="Z651" s="177"/>
      <c r="AA651" s="177"/>
      <c r="AB651" s="177"/>
      <c r="AC651" s="177"/>
      <c r="AD651" s="177"/>
      <c r="AE651" s="177"/>
    </row>
    <row r="652" spans="1:31" ht="13.5" thickBot="1">
      <c r="A652" s="202"/>
      <c r="B652" s="202"/>
      <c r="C652" s="202"/>
      <c r="D652" s="202"/>
      <c r="E652" s="202"/>
      <c r="F652" s="202"/>
      <c r="G652" s="202"/>
      <c r="H652" s="177"/>
      <c r="I652" s="177"/>
      <c r="J652" s="177"/>
      <c r="K652" s="177"/>
      <c r="L652" s="177"/>
      <c r="M652" s="177"/>
      <c r="N652" s="177"/>
      <c r="O652" s="177"/>
      <c r="P652" s="177"/>
      <c r="Q652" s="177"/>
      <c r="R652" s="177"/>
      <c r="S652" s="177"/>
      <c r="T652" s="177"/>
      <c r="U652" s="177"/>
      <c r="V652" s="177"/>
      <c r="W652" s="177"/>
      <c r="X652" s="177"/>
      <c r="Y652" s="177"/>
      <c r="Z652" s="177"/>
      <c r="AA652" s="177"/>
      <c r="AB652" s="177"/>
      <c r="AC652" s="177"/>
      <c r="AD652" s="177"/>
      <c r="AE652" s="177"/>
    </row>
    <row r="653" spans="1:31" ht="13.5" thickBot="1">
      <c r="A653" s="202"/>
      <c r="B653" s="202"/>
      <c r="C653" s="202"/>
      <c r="D653" s="202"/>
      <c r="E653" s="202"/>
      <c r="F653" s="202"/>
      <c r="G653" s="202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</row>
    <row r="654" spans="1:31" ht="13.5" thickBot="1">
      <c r="A654" s="202"/>
      <c r="B654" s="202"/>
      <c r="C654" s="202"/>
      <c r="D654" s="202"/>
      <c r="E654" s="202"/>
      <c r="F654" s="202"/>
      <c r="G654" s="202"/>
      <c r="H654" s="177"/>
      <c r="I654" s="177"/>
      <c r="J654" s="177"/>
      <c r="K654" s="177"/>
      <c r="L654" s="177"/>
      <c r="M654" s="177"/>
      <c r="N654" s="177"/>
      <c r="O654" s="177"/>
      <c r="P654" s="177"/>
      <c r="Q654" s="177"/>
      <c r="R654" s="177"/>
      <c r="S654" s="177"/>
      <c r="T654" s="177"/>
      <c r="U654" s="177"/>
      <c r="V654" s="177"/>
      <c r="W654" s="177"/>
      <c r="X654" s="177"/>
      <c r="Y654" s="177"/>
      <c r="Z654" s="177"/>
      <c r="AA654" s="177"/>
      <c r="AB654" s="177"/>
      <c r="AC654" s="177"/>
      <c r="AD654" s="177"/>
      <c r="AE654" s="177"/>
    </row>
    <row r="655" spans="1:31" ht="13.5" thickBot="1">
      <c r="A655" s="202"/>
      <c r="B655" s="202"/>
      <c r="C655" s="202"/>
      <c r="D655" s="202"/>
      <c r="E655" s="202"/>
      <c r="F655" s="202"/>
      <c r="G655" s="202"/>
      <c r="H655" s="177"/>
      <c r="I655" s="177"/>
      <c r="J655" s="177"/>
      <c r="K655" s="177"/>
      <c r="L655" s="177"/>
      <c r="M655" s="177"/>
      <c r="N655" s="177"/>
      <c r="O655" s="177"/>
      <c r="P655" s="177"/>
      <c r="Q655" s="177"/>
      <c r="R655" s="177"/>
      <c r="S655" s="177"/>
      <c r="T655" s="177"/>
      <c r="U655" s="177"/>
      <c r="V655" s="177"/>
      <c r="W655" s="177"/>
      <c r="X655" s="177"/>
      <c r="Y655" s="177"/>
      <c r="Z655" s="177"/>
      <c r="AA655" s="177"/>
      <c r="AB655" s="177"/>
      <c r="AC655" s="177"/>
      <c r="AD655" s="177"/>
      <c r="AE655" s="177"/>
    </row>
    <row r="656" spans="1:31" ht="13.5" thickBot="1">
      <c r="A656" s="202"/>
      <c r="B656" s="202"/>
      <c r="C656" s="202"/>
      <c r="D656" s="202"/>
      <c r="E656" s="202"/>
      <c r="F656" s="202"/>
      <c r="G656" s="202"/>
      <c r="H656" s="177"/>
      <c r="I656" s="177"/>
      <c r="J656" s="177"/>
      <c r="K656" s="177"/>
      <c r="L656" s="177"/>
      <c r="M656" s="177"/>
      <c r="N656" s="177"/>
      <c r="O656" s="177"/>
      <c r="P656" s="177"/>
      <c r="Q656" s="177"/>
      <c r="R656" s="177"/>
      <c r="S656" s="177"/>
      <c r="T656" s="177"/>
      <c r="U656" s="177"/>
      <c r="V656" s="177"/>
      <c r="W656" s="177"/>
      <c r="X656" s="177"/>
      <c r="Y656" s="177"/>
      <c r="Z656" s="177"/>
      <c r="AA656" s="177"/>
      <c r="AB656" s="177"/>
      <c r="AC656" s="177"/>
      <c r="AD656" s="177"/>
      <c r="AE656" s="177"/>
    </row>
    <row r="657" spans="1:31" ht="13.5" thickBot="1">
      <c r="A657" s="202"/>
      <c r="B657" s="202"/>
      <c r="C657" s="202"/>
      <c r="D657" s="202"/>
      <c r="E657" s="202"/>
      <c r="F657" s="202"/>
      <c r="G657" s="202"/>
      <c r="H657" s="177"/>
      <c r="I657" s="177"/>
      <c r="J657" s="177"/>
      <c r="K657" s="177"/>
      <c r="L657" s="177"/>
      <c r="M657" s="177"/>
      <c r="N657" s="177"/>
      <c r="O657" s="177"/>
      <c r="P657" s="177"/>
      <c r="Q657" s="177"/>
      <c r="R657" s="177"/>
      <c r="S657" s="177"/>
      <c r="T657" s="177"/>
      <c r="U657" s="177"/>
      <c r="V657" s="177"/>
      <c r="W657" s="177"/>
      <c r="X657" s="177"/>
      <c r="Y657" s="177"/>
      <c r="Z657" s="177"/>
      <c r="AA657" s="177"/>
      <c r="AB657" s="177"/>
      <c r="AC657" s="177"/>
      <c r="AD657" s="177"/>
      <c r="AE657" s="177"/>
    </row>
    <row r="658" spans="1:31" ht="13.5" thickBot="1">
      <c r="A658" s="202"/>
      <c r="B658" s="202"/>
      <c r="C658" s="202"/>
      <c r="D658" s="202"/>
      <c r="E658" s="202"/>
      <c r="F658" s="202"/>
      <c r="G658" s="202"/>
      <c r="H658" s="177"/>
      <c r="I658" s="177"/>
      <c r="J658" s="177"/>
      <c r="K658" s="177"/>
      <c r="L658" s="177"/>
      <c r="M658" s="177"/>
      <c r="N658" s="177"/>
      <c r="O658" s="177"/>
      <c r="P658" s="177"/>
      <c r="Q658" s="177"/>
      <c r="R658" s="177"/>
      <c r="S658" s="177"/>
      <c r="T658" s="177"/>
      <c r="U658" s="177"/>
      <c r="V658" s="177"/>
      <c r="W658" s="177"/>
      <c r="X658" s="177"/>
      <c r="Y658" s="177"/>
      <c r="Z658" s="177"/>
      <c r="AA658" s="177"/>
      <c r="AB658" s="177"/>
      <c r="AC658" s="177"/>
      <c r="AD658" s="177"/>
      <c r="AE658" s="177"/>
    </row>
    <row r="659" spans="1:31" ht="13.5" thickBot="1">
      <c r="A659" s="202"/>
      <c r="B659" s="202"/>
      <c r="C659" s="202"/>
      <c r="D659" s="202"/>
      <c r="E659" s="202"/>
      <c r="F659" s="202"/>
      <c r="G659" s="202"/>
      <c r="H659" s="177"/>
      <c r="I659" s="177"/>
      <c r="J659" s="177"/>
      <c r="K659" s="177"/>
      <c r="L659" s="177"/>
      <c r="M659" s="177"/>
      <c r="N659" s="177"/>
      <c r="O659" s="177"/>
      <c r="P659" s="177"/>
      <c r="Q659" s="177"/>
      <c r="R659" s="177"/>
      <c r="S659" s="177"/>
      <c r="T659" s="177"/>
      <c r="U659" s="177"/>
      <c r="V659" s="177"/>
      <c r="W659" s="177"/>
      <c r="X659" s="177"/>
      <c r="Y659" s="177"/>
      <c r="Z659" s="177"/>
      <c r="AA659" s="177"/>
      <c r="AB659" s="177"/>
      <c r="AC659" s="177"/>
      <c r="AD659" s="177"/>
      <c r="AE659" s="177"/>
    </row>
    <row r="660" spans="1:31" ht="13.5" thickBot="1">
      <c r="A660" s="202"/>
      <c r="B660" s="202"/>
      <c r="C660" s="202"/>
      <c r="D660" s="202"/>
      <c r="E660" s="202"/>
      <c r="F660" s="202"/>
      <c r="G660" s="202"/>
      <c r="H660" s="177"/>
      <c r="I660" s="177"/>
      <c r="J660" s="177"/>
      <c r="K660" s="177"/>
      <c r="L660" s="177"/>
      <c r="M660" s="177"/>
      <c r="N660" s="177"/>
      <c r="O660" s="177"/>
      <c r="P660" s="177"/>
      <c r="Q660" s="177"/>
      <c r="R660" s="177"/>
      <c r="S660" s="177"/>
      <c r="T660" s="177"/>
      <c r="U660" s="177"/>
      <c r="V660" s="177"/>
      <c r="W660" s="177"/>
      <c r="X660" s="177"/>
      <c r="Y660" s="177"/>
      <c r="Z660" s="177"/>
      <c r="AA660" s="177"/>
      <c r="AB660" s="177"/>
      <c r="AC660" s="177"/>
      <c r="AD660" s="177"/>
      <c r="AE660" s="177"/>
    </row>
    <row r="661" spans="1:31" ht="13.5" thickBot="1">
      <c r="A661" s="202"/>
      <c r="B661" s="202"/>
      <c r="C661" s="202"/>
      <c r="D661" s="202"/>
      <c r="E661" s="202"/>
      <c r="F661" s="202"/>
      <c r="G661" s="202"/>
      <c r="H661" s="177"/>
      <c r="I661" s="177"/>
      <c r="J661" s="177"/>
      <c r="K661" s="177"/>
      <c r="L661" s="177"/>
      <c r="M661" s="177"/>
      <c r="N661" s="177"/>
      <c r="O661" s="177"/>
      <c r="P661" s="177"/>
      <c r="Q661" s="177"/>
      <c r="R661" s="177"/>
      <c r="S661" s="177"/>
      <c r="T661" s="177"/>
      <c r="U661" s="177"/>
      <c r="V661" s="177"/>
      <c r="W661" s="177"/>
      <c r="X661" s="177"/>
      <c r="Y661" s="177"/>
      <c r="Z661" s="177"/>
      <c r="AA661" s="177"/>
      <c r="AB661" s="177"/>
      <c r="AC661" s="177"/>
      <c r="AD661" s="177"/>
      <c r="AE661" s="177"/>
    </row>
    <row r="662" spans="1:31" ht="13.5" thickBot="1">
      <c r="A662" s="202"/>
      <c r="B662" s="202"/>
      <c r="C662" s="202"/>
      <c r="D662" s="202"/>
      <c r="E662" s="202"/>
      <c r="F662" s="202"/>
      <c r="G662" s="202"/>
      <c r="H662" s="177"/>
      <c r="I662" s="177"/>
      <c r="J662" s="177"/>
      <c r="K662" s="177"/>
      <c r="L662" s="177"/>
      <c r="M662" s="177"/>
      <c r="N662" s="177"/>
      <c r="O662" s="177"/>
      <c r="P662" s="177"/>
      <c r="Q662" s="177"/>
      <c r="R662" s="177"/>
      <c r="S662" s="177"/>
      <c r="T662" s="177"/>
      <c r="U662" s="177"/>
      <c r="V662" s="177"/>
      <c r="W662" s="177"/>
      <c r="X662" s="177"/>
      <c r="Y662" s="177"/>
      <c r="Z662" s="177"/>
      <c r="AA662" s="177"/>
      <c r="AB662" s="177"/>
      <c r="AC662" s="177"/>
      <c r="AD662" s="177"/>
      <c r="AE662" s="177"/>
    </row>
    <row r="663" spans="1:31" ht="13.5" thickBot="1">
      <c r="A663" s="202"/>
      <c r="B663" s="202"/>
      <c r="C663" s="202"/>
      <c r="D663" s="202"/>
      <c r="E663" s="202"/>
      <c r="F663" s="202"/>
      <c r="G663" s="202"/>
      <c r="H663" s="177"/>
      <c r="I663" s="177"/>
      <c r="J663" s="177"/>
      <c r="K663" s="177"/>
      <c r="L663" s="177"/>
      <c r="M663" s="177"/>
      <c r="N663" s="177"/>
      <c r="O663" s="177"/>
      <c r="P663" s="177"/>
      <c r="Q663" s="177"/>
      <c r="R663" s="177"/>
      <c r="S663" s="177"/>
      <c r="T663" s="177"/>
      <c r="U663" s="177"/>
      <c r="V663" s="177"/>
      <c r="W663" s="177"/>
      <c r="X663" s="177"/>
      <c r="Y663" s="177"/>
      <c r="Z663" s="177"/>
      <c r="AA663" s="177"/>
      <c r="AB663" s="177"/>
      <c r="AC663" s="177"/>
      <c r="AD663" s="177"/>
      <c r="AE663" s="177"/>
    </row>
    <row r="664" spans="1:31" ht="13.5" thickBot="1">
      <c r="A664" s="202"/>
      <c r="B664" s="202"/>
      <c r="C664" s="202"/>
      <c r="D664" s="202"/>
      <c r="E664" s="202"/>
      <c r="F664" s="202"/>
      <c r="G664" s="202"/>
      <c r="H664" s="177"/>
      <c r="I664" s="177"/>
      <c r="J664" s="177"/>
      <c r="K664" s="177"/>
      <c r="L664" s="177"/>
      <c r="M664" s="177"/>
      <c r="N664" s="177"/>
      <c r="O664" s="177"/>
      <c r="P664" s="177"/>
      <c r="Q664" s="177"/>
      <c r="R664" s="177"/>
      <c r="S664" s="177"/>
      <c r="T664" s="177"/>
      <c r="U664" s="177"/>
      <c r="V664" s="177"/>
      <c r="W664" s="177"/>
      <c r="X664" s="177"/>
      <c r="Y664" s="177"/>
      <c r="Z664" s="177"/>
      <c r="AA664" s="177"/>
      <c r="AB664" s="177"/>
      <c r="AC664" s="177"/>
      <c r="AD664" s="177"/>
      <c r="AE664" s="177"/>
    </row>
    <row r="665" spans="1:31" ht="13.5" thickBot="1">
      <c r="A665" s="202"/>
      <c r="B665" s="202"/>
      <c r="C665" s="202"/>
      <c r="D665" s="202"/>
      <c r="E665" s="202"/>
      <c r="F665" s="202"/>
      <c r="G665" s="202"/>
      <c r="H665" s="177"/>
      <c r="I665" s="177"/>
      <c r="J665" s="177"/>
      <c r="K665" s="177"/>
      <c r="L665" s="177"/>
      <c r="M665" s="177"/>
      <c r="N665" s="177"/>
      <c r="O665" s="177"/>
      <c r="P665" s="177"/>
      <c r="Q665" s="177"/>
      <c r="R665" s="177"/>
      <c r="S665" s="177"/>
      <c r="T665" s="177"/>
      <c r="U665" s="177"/>
      <c r="V665" s="177"/>
      <c r="W665" s="177"/>
      <c r="X665" s="177"/>
      <c r="Y665" s="177"/>
      <c r="Z665" s="177"/>
      <c r="AA665" s="177"/>
      <c r="AB665" s="177"/>
      <c r="AC665" s="177"/>
      <c r="AD665" s="177"/>
      <c r="AE665" s="177"/>
    </row>
    <row r="666" spans="1:31" ht="13.5" thickBot="1">
      <c r="A666" s="202"/>
      <c r="B666" s="202"/>
      <c r="C666" s="202"/>
      <c r="D666" s="202"/>
      <c r="E666" s="202"/>
      <c r="F666" s="202"/>
      <c r="G666" s="202"/>
      <c r="H666" s="177"/>
      <c r="I666" s="177"/>
      <c r="J666" s="177"/>
      <c r="K666" s="177"/>
      <c r="L666" s="177"/>
      <c r="M666" s="177"/>
      <c r="N666" s="177"/>
      <c r="O666" s="177"/>
      <c r="P666" s="177"/>
      <c r="Q666" s="177"/>
      <c r="R666" s="177"/>
      <c r="S666" s="177"/>
      <c r="T666" s="177"/>
      <c r="U666" s="177"/>
      <c r="V666" s="177"/>
      <c r="W666" s="177"/>
      <c r="X666" s="177"/>
      <c r="Y666" s="177"/>
      <c r="Z666" s="177"/>
      <c r="AA666" s="177"/>
      <c r="AB666" s="177"/>
      <c r="AC666" s="177"/>
      <c r="AD666" s="177"/>
      <c r="AE666" s="177"/>
    </row>
    <row r="667" spans="1:31" ht="13.5" thickBot="1">
      <c r="A667" s="202"/>
      <c r="B667" s="202"/>
      <c r="C667" s="202"/>
      <c r="D667" s="202"/>
      <c r="E667" s="202"/>
      <c r="F667" s="202"/>
      <c r="G667" s="202"/>
      <c r="H667" s="177"/>
      <c r="I667" s="177"/>
      <c r="J667" s="177"/>
      <c r="K667" s="177"/>
      <c r="L667" s="177"/>
      <c r="M667" s="177"/>
      <c r="N667" s="177"/>
      <c r="O667" s="177"/>
      <c r="P667" s="177"/>
      <c r="Q667" s="177"/>
      <c r="R667" s="177"/>
      <c r="S667" s="177"/>
      <c r="T667" s="177"/>
      <c r="U667" s="177"/>
      <c r="V667" s="177"/>
      <c r="W667" s="177"/>
      <c r="X667" s="177"/>
      <c r="Y667" s="177"/>
      <c r="Z667" s="177"/>
      <c r="AA667" s="177"/>
      <c r="AB667" s="177"/>
      <c r="AC667" s="177"/>
      <c r="AD667" s="177"/>
      <c r="AE667" s="177"/>
    </row>
    <row r="668" spans="1:31" ht="13.5" thickBot="1">
      <c r="A668" s="202"/>
      <c r="B668" s="202"/>
      <c r="C668" s="202"/>
      <c r="D668" s="202"/>
      <c r="E668" s="202"/>
      <c r="F668" s="202"/>
      <c r="G668" s="202"/>
      <c r="H668" s="177"/>
      <c r="I668" s="177"/>
      <c r="J668" s="177"/>
      <c r="K668" s="177"/>
      <c r="L668" s="177"/>
      <c r="M668" s="177"/>
      <c r="N668" s="177"/>
      <c r="O668" s="177"/>
      <c r="P668" s="177"/>
      <c r="Q668" s="177"/>
      <c r="R668" s="177"/>
      <c r="S668" s="177"/>
      <c r="T668" s="177"/>
      <c r="U668" s="177"/>
      <c r="V668" s="177"/>
      <c r="W668" s="177"/>
      <c r="X668" s="177"/>
      <c r="Y668" s="177"/>
      <c r="Z668" s="177"/>
      <c r="AA668" s="177"/>
      <c r="AB668" s="177"/>
      <c r="AC668" s="177"/>
      <c r="AD668" s="177"/>
      <c r="AE668" s="177"/>
    </row>
    <row r="669" spans="1:31" ht="13.5" thickBot="1">
      <c r="A669" s="202"/>
      <c r="B669" s="202"/>
      <c r="C669" s="202"/>
      <c r="D669" s="202"/>
      <c r="E669" s="202"/>
      <c r="F669" s="202"/>
      <c r="G669" s="202"/>
      <c r="H669" s="177"/>
      <c r="I669" s="177"/>
      <c r="J669" s="177"/>
      <c r="K669" s="177"/>
      <c r="L669" s="177"/>
      <c r="M669" s="177"/>
      <c r="N669" s="177"/>
      <c r="O669" s="177"/>
      <c r="P669" s="177"/>
      <c r="Q669" s="177"/>
      <c r="R669" s="177"/>
      <c r="S669" s="177"/>
      <c r="T669" s="177"/>
      <c r="U669" s="177"/>
      <c r="V669" s="177"/>
      <c r="W669" s="177"/>
      <c r="X669" s="177"/>
      <c r="Y669" s="177"/>
      <c r="Z669" s="177"/>
      <c r="AA669" s="177"/>
      <c r="AB669" s="177"/>
      <c r="AC669" s="177"/>
      <c r="AD669" s="177"/>
      <c r="AE669" s="177"/>
    </row>
    <row r="670" spans="1:31" ht="13.5" thickBot="1">
      <c r="A670" s="202"/>
      <c r="B670" s="202"/>
      <c r="C670" s="202"/>
      <c r="D670" s="202"/>
      <c r="E670" s="202"/>
      <c r="F670" s="202"/>
      <c r="G670" s="202"/>
      <c r="H670" s="177"/>
      <c r="I670" s="177"/>
      <c r="J670" s="177"/>
      <c r="K670" s="177"/>
      <c r="L670" s="177"/>
      <c r="M670" s="177"/>
      <c r="N670" s="177"/>
      <c r="O670" s="177"/>
      <c r="P670" s="177"/>
      <c r="Q670" s="177"/>
      <c r="R670" s="177"/>
      <c r="S670" s="177"/>
      <c r="T670" s="177"/>
      <c r="U670" s="177"/>
      <c r="V670" s="177"/>
      <c r="W670" s="177"/>
      <c r="X670" s="177"/>
      <c r="Y670" s="177"/>
      <c r="Z670" s="177"/>
      <c r="AA670" s="177"/>
      <c r="AB670" s="177"/>
      <c r="AC670" s="177"/>
      <c r="AD670" s="177"/>
      <c r="AE670" s="177"/>
    </row>
    <row r="671" spans="1:31" ht="13.5" thickBot="1">
      <c r="A671" s="202"/>
      <c r="B671" s="202"/>
      <c r="C671" s="202"/>
      <c r="D671" s="202"/>
      <c r="E671" s="202"/>
      <c r="F671" s="202"/>
      <c r="G671" s="202"/>
      <c r="H671" s="177"/>
      <c r="I671" s="177"/>
      <c r="J671" s="177"/>
      <c r="K671" s="177"/>
      <c r="L671" s="177"/>
      <c r="M671" s="177"/>
      <c r="N671" s="177"/>
      <c r="O671" s="177"/>
      <c r="P671" s="177"/>
      <c r="Q671" s="177"/>
      <c r="R671" s="177"/>
      <c r="S671" s="177"/>
      <c r="T671" s="177"/>
      <c r="U671" s="177"/>
      <c r="V671" s="177"/>
      <c r="W671" s="177"/>
      <c r="X671" s="177"/>
      <c r="Y671" s="177"/>
      <c r="Z671" s="177"/>
      <c r="AA671" s="177"/>
      <c r="AB671" s="177"/>
      <c r="AC671" s="177"/>
      <c r="AD671" s="177"/>
      <c r="AE671" s="177"/>
    </row>
    <row r="672" spans="1:31" ht="13.5" thickBot="1">
      <c r="A672" s="202"/>
      <c r="B672" s="202"/>
      <c r="C672" s="202"/>
      <c r="D672" s="202"/>
      <c r="E672" s="202"/>
      <c r="F672" s="202"/>
      <c r="G672" s="202"/>
      <c r="H672" s="177"/>
      <c r="I672" s="177"/>
      <c r="J672" s="177"/>
      <c r="K672" s="177"/>
      <c r="L672" s="177"/>
      <c r="M672" s="177"/>
      <c r="N672" s="177"/>
      <c r="O672" s="177"/>
      <c r="P672" s="177"/>
      <c r="Q672" s="177"/>
      <c r="R672" s="177"/>
      <c r="S672" s="177"/>
      <c r="T672" s="177"/>
      <c r="U672" s="177"/>
      <c r="V672" s="177"/>
      <c r="W672" s="177"/>
      <c r="X672" s="177"/>
      <c r="Y672" s="177"/>
      <c r="Z672" s="177"/>
      <c r="AA672" s="177"/>
      <c r="AB672" s="177"/>
      <c r="AC672" s="177"/>
      <c r="AD672" s="177"/>
      <c r="AE672" s="177"/>
    </row>
    <row r="673" spans="1:31" ht="13.5" thickBot="1">
      <c r="A673" s="202"/>
      <c r="B673" s="202"/>
      <c r="C673" s="202"/>
      <c r="D673" s="202"/>
      <c r="E673" s="202"/>
      <c r="F673" s="202"/>
      <c r="G673" s="202"/>
      <c r="H673" s="177"/>
      <c r="I673" s="177"/>
      <c r="J673" s="177"/>
      <c r="K673" s="177"/>
      <c r="L673" s="177"/>
      <c r="M673" s="177"/>
      <c r="N673" s="177"/>
      <c r="O673" s="177"/>
      <c r="P673" s="177"/>
      <c r="Q673" s="177"/>
      <c r="R673" s="177"/>
      <c r="S673" s="177"/>
      <c r="T673" s="177"/>
      <c r="U673" s="177"/>
      <c r="V673" s="177"/>
      <c r="W673" s="177"/>
      <c r="X673" s="177"/>
      <c r="Y673" s="177"/>
      <c r="Z673" s="177"/>
      <c r="AA673" s="177"/>
      <c r="AB673" s="177"/>
      <c r="AC673" s="177"/>
      <c r="AD673" s="177"/>
      <c r="AE673" s="177"/>
    </row>
    <row r="674" spans="1:31" ht="13.5" thickBot="1">
      <c r="A674" s="202"/>
      <c r="B674" s="202"/>
      <c r="C674" s="202"/>
      <c r="D674" s="202"/>
      <c r="E674" s="202"/>
      <c r="F674" s="202"/>
      <c r="G674" s="202"/>
      <c r="H674" s="177"/>
      <c r="I674" s="177"/>
      <c r="J674" s="177"/>
      <c r="K674" s="177"/>
      <c r="L674" s="177"/>
      <c r="M674" s="177"/>
      <c r="N674" s="177"/>
      <c r="O674" s="177"/>
      <c r="P674" s="177"/>
      <c r="Q674" s="177"/>
      <c r="R674" s="177"/>
      <c r="S674" s="177"/>
      <c r="T674" s="177"/>
      <c r="U674" s="177"/>
      <c r="V674" s="177"/>
      <c r="W674" s="177"/>
      <c r="X674" s="177"/>
      <c r="Y674" s="177"/>
      <c r="Z674" s="177"/>
      <c r="AA674" s="177"/>
      <c r="AB674" s="177"/>
      <c r="AC674" s="177"/>
      <c r="AD674" s="177"/>
      <c r="AE674" s="177"/>
    </row>
    <row r="675" spans="1:31" ht="13.5" thickBot="1">
      <c r="A675" s="202"/>
      <c r="B675" s="202"/>
      <c r="C675" s="202"/>
      <c r="D675" s="202"/>
      <c r="E675" s="202"/>
      <c r="F675" s="202"/>
      <c r="G675" s="202"/>
      <c r="H675" s="177"/>
      <c r="I675" s="177"/>
      <c r="J675" s="177"/>
      <c r="K675" s="177"/>
      <c r="L675" s="177"/>
      <c r="M675" s="177"/>
      <c r="N675" s="177"/>
      <c r="O675" s="177"/>
      <c r="P675" s="177"/>
      <c r="Q675" s="177"/>
      <c r="R675" s="177"/>
      <c r="S675" s="177"/>
      <c r="T675" s="177"/>
      <c r="U675" s="177"/>
      <c r="V675" s="177"/>
      <c r="W675" s="177"/>
      <c r="X675" s="177"/>
      <c r="Y675" s="177"/>
      <c r="Z675" s="177"/>
      <c r="AA675" s="177"/>
      <c r="AB675" s="177"/>
      <c r="AC675" s="177"/>
      <c r="AD675" s="177"/>
      <c r="AE675" s="177"/>
    </row>
    <row r="676" spans="1:31" ht="13.5" thickBot="1">
      <c r="A676" s="202"/>
      <c r="B676" s="202"/>
      <c r="C676" s="202"/>
      <c r="D676" s="202"/>
      <c r="E676" s="202"/>
      <c r="F676" s="202"/>
      <c r="G676" s="202"/>
      <c r="H676" s="177"/>
      <c r="I676" s="177"/>
      <c r="J676" s="177"/>
      <c r="K676" s="177"/>
      <c r="L676" s="177"/>
      <c r="M676" s="177"/>
      <c r="N676" s="177"/>
      <c r="O676" s="177"/>
      <c r="P676" s="177"/>
      <c r="Q676" s="177"/>
      <c r="R676" s="177"/>
      <c r="S676" s="177"/>
      <c r="T676" s="177"/>
      <c r="U676" s="177"/>
      <c r="V676" s="177"/>
      <c r="W676" s="177"/>
      <c r="X676" s="177"/>
      <c r="Y676" s="177"/>
      <c r="Z676" s="177"/>
      <c r="AA676" s="177"/>
      <c r="AB676" s="177"/>
      <c r="AC676" s="177"/>
      <c r="AD676" s="177"/>
      <c r="AE676" s="177"/>
    </row>
    <row r="677" spans="1:31" ht="13.5" thickBot="1">
      <c r="A677" s="202"/>
      <c r="B677" s="202"/>
      <c r="C677" s="202"/>
      <c r="D677" s="202"/>
      <c r="E677" s="202"/>
      <c r="F677" s="202"/>
      <c r="G677" s="202"/>
      <c r="H677" s="177"/>
      <c r="I677" s="177"/>
      <c r="J677" s="177"/>
      <c r="K677" s="177"/>
      <c r="L677" s="177"/>
      <c r="M677" s="177"/>
      <c r="N677" s="177"/>
      <c r="O677" s="177"/>
      <c r="P677" s="177"/>
      <c r="Q677" s="177"/>
      <c r="R677" s="177"/>
      <c r="S677" s="177"/>
      <c r="T677" s="177"/>
      <c r="U677" s="177"/>
      <c r="V677" s="177"/>
      <c r="W677" s="177"/>
      <c r="X677" s="177"/>
      <c r="Y677" s="177"/>
      <c r="Z677" s="177"/>
      <c r="AA677" s="177"/>
      <c r="AB677" s="177"/>
      <c r="AC677" s="177"/>
      <c r="AD677" s="177"/>
      <c r="AE677" s="177"/>
    </row>
    <row r="678" spans="1:31" ht="13.5" thickBot="1">
      <c r="A678" s="202"/>
      <c r="B678" s="202"/>
      <c r="C678" s="202"/>
      <c r="D678" s="202"/>
      <c r="E678" s="202"/>
      <c r="F678" s="202"/>
      <c r="G678" s="202"/>
      <c r="H678" s="177"/>
      <c r="I678" s="177"/>
      <c r="J678" s="177"/>
      <c r="K678" s="177"/>
      <c r="L678" s="177"/>
      <c r="M678" s="177"/>
      <c r="N678" s="177"/>
      <c r="O678" s="177"/>
      <c r="P678" s="177"/>
      <c r="Q678" s="177"/>
      <c r="R678" s="177"/>
      <c r="S678" s="177"/>
      <c r="T678" s="177"/>
      <c r="U678" s="177"/>
      <c r="V678" s="177"/>
      <c r="W678" s="177"/>
      <c r="X678" s="177"/>
      <c r="Y678" s="177"/>
      <c r="Z678" s="177"/>
      <c r="AA678" s="177"/>
      <c r="AB678" s="177"/>
      <c r="AC678" s="177"/>
      <c r="AD678" s="177"/>
      <c r="AE678" s="177"/>
    </row>
    <row r="679" spans="1:31" ht="13.5" thickBot="1">
      <c r="A679" s="202"/>
      <c r="B679" s="202"/>
      <c r="C679" s="202"/>
      <c r="D679" s="202"/>
      <c r="E679" s="202"/>
      <c r="F679" s="202"/>
      <c r="G679" s="202"/>
      <c r="H679" s="177"/>
      <c r="I679" s="177"/>
      <c r="J679" s="177"/>
      <c r="K679" s="177"/>
      <c r="L679" s="177"/>
      <c r="M679" s="177"/>
      <c r="N679" s="177"/>
      <c r="O679" s="177"/>
      <c r="P679" s="177"/>
      <c r="Q679" s="177"/>
      <c r="R679" s="177"/>
      <c r="S679" s="177"/>
      <c r="T679" s="177"/>
      <c r="U679" s="177"/>
      <c r="V679" s="177"/>
      <c r="W679" s="177"/>
      <c r="X679" s="177"/>
      <c r="Y679" s="177"/>
      <c r="Z679" s="177"/>
      <c r="AA679" s="177"/>
      <c r="AB679" s="177"/>
      <c r="AC679" s="177"/>
      <c r="AD679" s="177"/>
      <c r="AE679" s="177"/>
    </row>
    <row r="680" spans="1:31" ht="13.5" thickBot="1">
      <c r="A680" s="202"/>
      <c r="B680" s="202"/>
      <c r="C680" s="202"/>
      <c r="D680" s="202"/>
      <c r="E680" s="202"/>
      <c r="F680" s="202"/>
      <c r="G680" s="202"/>
      <c r="H680" s="177"/>
      <c r="I680" s="177"/>
      <c r="J680" s="177"/>
      <c r="K680" s="177"/>
      <c r="L680" s="177"/>
      <c r="M680" s="177"/>
      <c r="N680" s="177"/>
      <c r="O680" s="177"/>
      <c r="P680" s="177"/>
      <c r="Q680" s="177"/>
      <c r="R680" s="177"/>
      <c r="S680" s="177"/>
      <c r="T680" s="177"/>
      <c r="U680" s="177"/>
      <c r="V680" s="177"/>
      <c r="W680" s="177"/>
      <c r="X680" s="177"/>
      <c r="Y680" s="177"/>
      <c r="Z680" s="177"/>
      <c r="AA680" s="177"/>
      <c r="AB680" s="177"/>
      <c r="AC680" s="177"/>
      <c r="AD680" s="177"/>
      <c r="AE680" s="177"/>
    </row>
    <row r="681" spans="1:31" ht="13.5" thickBot="1">
      <c r="A681" s="202"/>
      <c r="B681" s="202"/>
      <c r="C681" s="202"/>
      <c r="D681" s="202"/>
      <c r="E681" s="202"/>
      <c r="F681" s="202"/>
      <c r="G681" s="202"/>
      <c r="H681" s="177"/>
      <c r="I681" s="177"/>
      <c r="J681" s="177"/>
      <c r="K681" s="177"/>
      <c r="L681" s="177"/>
      <c r="M681" s="177"/>
      <c r="N681" s="177"/>
      <c r="O681" s="177"/>
      <c r="P681" s="177"/>
      <c r="Q681" s="177"/>
      <c r="R681" s="177"/>
      <c r="S681" s="177"/>
      <c r="T681" s="177"/>
      <c r="U681" s="177"/>
      <c r="V681" s="177"/>
      <c r="W681" s="177"/>
      <c r="X681" s="177"/>
      <c r="Y681" s="177"/>
      <c r="Z681" s="177"/>
      <c r="AA681" s="177"/>
      <c r="AB681" s="177"/>
      <c r="AC681" s="177"/>
      <c r="AD681" s="177"/>
      <c r="AE681" s="177"/>
    </row>
    <row r="682" spans="1:31" ht="13.5" thickBot="1">
      <c r="A682" s="202"/>
      <c r="B682" s="202"/>
      <c r="C682" s="202"/>
      <c r="D682" s="202"/>
      <c r="E682" s="202"/>
      <c r="F682" s="202"/>
      <c r="G682" s="202"/>
      <c r="H682" s="177"/>
      <c r="I682" s="177"/>
      <c r="J682" s="177"/>
      <c r="K682" s="177"/>
      <c r="L682" s="177"/>
      <c r="M682" s="177"/>
      <c r="N682" s="177"/>
      <c r="O682" s="177"/>
      <c r="P682" s="177"/>
      <c r="Q682" s="177"/>
      <c r="R682" s="177"/>
      <c r="S682" s="177"/>
      <c r="T682" s="177"/>
      <c r="U682" s="177"/>
      <c r="V682" s="177"/>
      <c r="W682" s="177"/>
      <c r="X682" s="177"/>
      <c r="Y682" s="177"/>
      <c r="Z682" s="177"/>
      <c r="AA682" s="177"/>
      <c r="AB682" s="177"/>
      <c r="AC682" s="177"/>
      <c r="AD682" s="177"/>
      <c r="AE682" s="177"/>
    </row>
    <row r="683" spans="1:31" ht="13.5" thickBot="1">
      <c r="A683" s="202"/>
      <c r="B683" s="202"/>
      <c r="C683" s="202"/>
      <c r="D683" s="202"/>
      <c r="E683" s="202"/>
      <c r="F683" s="202"/>
      <c r="G683" s="202"/>
      <c r="H683" s="177"/>
      <c r="I683" s="177"/>
      <c r="J683" s="177"/>
      <c r="K683" s="177"/>
      <c r="L683" s="177"/>
      <c r="M683" s="177"/>
      <c r="N683" s="177"/>
      <c r="O683" s="177"/>
      <c r="P683" s="177"/>
      <c r="Q683" s="177"/>
      <c r="R683" s="177"/>
      <c r="S683" s="177"/>
      <c r="T683" s="177"/>
      <c r="U683" s="177"/>
      <c r="V683" s="177"/>
      <c r="W683" s="177"/>
      <c r="X683" s="177"/>
      <c r="Y683" s="177"/>
      <c r="Z683" s="177"/>
      <c r="AA683" s="177"/>
      <c r="AB683" s="177"/>
      <c r="AC683" s="177"/>
      <c r="AD683" s="177"/>
      <c r="AE683" s="177"/>
    </row>
    <row r="684" spans="1:31" ht="13.5" thickBot="1">
      <c r="A684" s="202"/>
      <c r="B684" s="202"/>
      <c r="C684" s="202"/>
      <c r="D684" s="202"/>
      <c r="E684" s="202"/>
      <c r="F684" s="202"/>
      <c r="G684" s="202"/>
      <c r="H684" s="177"/>
      <c r="I684" s="177"/>
      <c r="J684" s="177"/>
      <c r="K684" s="177"/>
      <c r="L684" s="177"/>
      <c r="M684" s="177"/>
      <c r="N684" s="177"/>
      <c r="O684" s="177"/>
      <c r="P684" s="177"/>
      <c r="Q684" s="177"/>
      <c r="R684" s="177"/>
      <c r="S684" s="177"/>
      <c r="T684" s="177"/>
      <c r="U684" s="177"/>
      <c r="V684" s="177"/>
      <c r="W684" s="177"/>
      <c r="X684" s="177"/>
      <c r="Y684" s="177"/>
      <c r="Z684" s="177"/>
      <c r="AA684" s="177"/>
      <c r="AB684" s="177"/>
      <c r="AC684" s="177"/>
      <c r="AD684" s="177"/>
      <c r="AE684" s="177"/>
    </row>
    <row r="685" spans="1:31" ht="13.5" thickBot="1">
      <c r="A685" s="202"/>
      <c r="B685" s="202"/>
      <c r="C685" s="202"/>
      <c r="D685" s="202"/>
      <c r="E685" s="202"/>
      <c r="F685" s="202"/>
      <c r="G685" s="202"/>
      <c r="H685" s="177"/>
      <c r="I685" s="177"/>
      <c r="J685" s="177"/>
      <c r="K685" s="177"/>
      <c r="L685" s="177"/>
      <c r="M685" s="177"/>
      <c r="N685" s="177"/>
      <c r="O685" s="177"/>
      <c r="P685" s="177"/>
      <c r="Q685" s="177"/>
      <c r="R685" s="177"/>
      <c r="S685" s="177"/>
      <c r="T685" s="177"/>
      <c r="U685" s="177"/>
      <c r="V685" s="177"/>
      <c r="W685" s="177"/>
      <c r="X685" s="177"/>
      <c r="Y685" s="177"/>
      <c r="Z685" s="177"/>
      <c r="AA685" s="177"/>
      <c r="AB685" s="177"/>
      <c r="AC685" s="177"/>
      <c r="AD685" s="177"/>
      <c r="AE685" s="177"/>
    </row>
    <row r="686" spans="1:31" ht="13.5" thickBot="1">
      <c r="A686" s="202"/>
      <c r="B686" s="202"/>
      <c r="C686" s="202"/>
      <c r="D686" s="202"/>
      <c r="E686" s="202"/>
      <c r="F686" s="202"/>
      <c r="G686" s="202"/>
      <c r="H686" s="177"/>
      <c r="I686" s="177"/>
      <c r="J686" s="177"/>
      <c r="K686" s="177"/>
      <c r="L686" s="177"/>
      <c r="M686" s="177"/>
      <c r="N686" s="177"/>
      <c r="O686" s="177"/>
      <c r="P686" s="177"/>
      <c r="Q686" s="177"/>
      <c r="R686" s="177"/>
      <c r="S686" s="177"/>
      <c r="T686" s="177"/>
      <c r="U686" s="177"/>
      <c r="V686" s="177"/>
      <c r="W686" s="177"/>
      <c r="X686" s="177"/>
      <c r="Y686" s="177"/>
      <c r="Z686" s="177"/>
      <c r="AA686" s="177"/>
      <c r="AB686" s="177"/>
      <c r="AC686" s="177"/>
      <c r="AD686" s="177"/>
      <c r="AE686" s="177"/>
    </row>
    <row r="687" spans="1:31" ht="13.5" thickBot="1">
      <c r="A687" s="202"/>
      <c r="B687" s="202"/>
      <c r="C687" s="202"/>
      <c r="D687" s="202"/>
      <c r="E687" s="202"/>
      <c r="F687" s="202"/>
      <c r="G687" s="202"/>
      <c r="H687" s="177"/>
      <c r="I687" s="177"/>
      <c r="J687" s="177"/>
      <c r="K687" s="177"/>
      <c r="L687" s="177"/>
      <c r="M687" s="177"/>
      <c r="N687" s="177"/>
      <c r="O687" s="177"/>
      <c r="P687" s="177"/>
      <c r="Q687" s="177"/>
      <c r="R687" s="177"/>
      <c r="S687" s="177"/>
      <c r="T687" s="177"/>
      <c r="U687" s="177"/>
      <c r="V687" s="177"/>
      <c r="W687" s="177"/>
      <c r="X687" s="177"/>
      <c r="Y687" s="177"/>
      <c r="Z687" s="177"/>
      <c r="AA687" s="177"/>
      <c r="AB687" s="177"/>
      <c r="AC687" s="177"/>
      <c r="AD687" s="177"/>
      <c r="AE687" s="177"/>
    </row>
    <row r="688" spans="1:31" ht="13.5" thickBot="1">
      <c r="A688" s="202"/>
      <c r="B688" s="202"/>
      <c r="C688" s="202"/>
      <c r="D688" s="202"/>
      <c r="E688" s="202"/>
      <c r="F688" s="202"/>
      <c r="G688" s="202"/>
      <c r="H688" s="177"/>
      <c r="I688" s="177"/>
      <c r="J688" s="177"/>
      <c r="K688" s="177"/>
      <c r="L688" s="177"/>
      <c r="M688" s="177"/>
      <c r="N688" s="177"/>
      <c r="O688" s="177"/>
      <c r="P688" s="177"/>
      <c r="Q688" s="177"/>
      <c r="R688" s="177"/>
      <c r="S688" s="177"/>
      <c r="T688" s="177"/>
      <c r="U688" s="177"/>
      <c r="V688" s="177"/>
      <c r="W688" s="177"/>
      <c r="X688" s="177"/>
      <c r="Y688" s="177"/>
      <c r="Z688" s="177"/>
      <c r="AA688" s="177"/>
      <c r="AB688" s="177"/>
      <c r="AC688" s="177"/>
      <c r="AD688" s="177"/>
      <c r="AE688" s="177"/>
    </row>
    <row r="689" spans="1:31" ht="13.5" thickBot="1">
      <c r="A689" s="202"/>
      <c r="B689" s="202"/>
      <c r="C689" s="202"/>
      <c r="D689" s="202"/>
      <c r="E689" s="202"/>
      <c r="F689" s="202"/>
      <c r="G689" s="202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</row>
    <row r="690" spans="1:31" ht="13.5" thickBot="1">
      <c r="A690" s="202"/>
      <c r="B690" s="202"/>
      <c r="C690" s="202"/>
      <c r="D690" s="202"/>
      <c r="E690" s="202"/>
      <c r="F690" s="202"/>
      <c r="G690" s="202"/>
      <c r="H690" s="177"/>
      <c r="I690" s="177"/>
      <c r="J690" s="177"/>
      <c r="K690" s="177"/>
      <c r="L690" s="177"/>
      <c r="M690" s="177"/>
      <c r="N690" s="177"/>
      <c r="O690" s="177"/>
      <c r="P690" s="177"/>
      <c r="Q690" s="177"/>
      <c r="R690" s="177"/>
      <c r="S690" s="177"/>
      <c r="T690" s="177"/>
      <c r="U690" s="177"/>
      <c r="V690" s="177"/>
      <c r="W690" s="177"/>
      <c r="X690" s="177"/>
      <c r="Y690" s="177"/>
      <c r="Z690" s="177"/>
      <c r="AA690" s="177"/>
      <c r="AB690" s="177"/>
      <c r="AC690" s="177"/>
      <c r="AD690" s="177"/>
      <c r="AE690" s="177"/>
    </row>
    <row r="691" spans="1:31" ht="13.5" thickBot="1">
      <c r="A691" s="202"/>
      <c r="B691" s="202"/>
      <c r="C691" s="202"/>
      <c r="D691" s="202"/>
      <c r="E691" s="202"/>
      <c r="F691" s="202"/>
      <c r="G691" s="202"/>
      <c r="H691" s="177"/>
      <c r="I691" s="177"/>
      <c r="J691" s="177"/>
      <c r="K691" s="177"/>
      <c r="L691" s="177"/>
      <c r="M691" s="177"/>
      <c r="N691" s="177"/>
      <c r="O691" s="177"/>
      <c r="P691" s="177"/>
      <c r="Q691" s="177"/>
      <c r="R691" s="177"/>
      <c r="S691" s="177"/>
      <c r="T691" s="177"/>
      <c r="U691" s="177"/>
      <c r="V691" s="177"/>
      <c r="W691" s="177"/>
      <c r="X691" s="177"/>
      <c r="Y691" s="177"/>
      <c r="Z691" s="177"/>
      <c r="AA691" s="177"/>
      <c r="AB691" s="177"/>
      <c r="AC691" s="177"/>
      <c r="AD691" s="177"/>
      <c r="AE691" s="177"/>
    </row>
    <row r="692" spans="1:31" ht="13.5" thickBot="1">
      <c r="A692" s="202"/>
      <c r="B692" s="202"/>
      <c r="C692" s="202"/>
      <c r="D692" s="202"/>
      <c r="E692" s="202"/>
      <c r="F692" s="202"/>
      <c r="G692" s="202"/>
      <c r="H692" s="177"/>
      <c r="I692" s="177"/>
      <c r="J692" s="177"/>
      <c r="K692" s="177"/>
      <c r="L692" s="177"/>
      <c r="M692" s="177"/>
      <c r="N692" s="177"/>
      <c r="O692" s="177"/>
      <c r="P692" s="177"/>
      <c r="Q692" s="177"/>
      <c r="R692" s="177"/>
      <c r="S692" s="177"/>
      <c r="T692" s="177"/>
      <c r="U692" s="177"/>
      <c r="V692" s="177"/>
      <c r="W692" s="177"/>
      <c r="X692" s="177"/>
      <c r="Y692" s="177"/>
      <c r="Z692" s="177"/>
      <c r="AA692" s="177"/>
      <c r="AB692" s="177"/>
      <c r="AC692" s="177"/>
      <c r="AD692" s="177"/>
      <c r="AE692" s="177"/>
    </row>
    <row r="693" spans="1:31" ht="13.5" thickBot="1">
      <c r="A693" s="202"/>
      <c r="B693" s="202"/>
      <c r="C693" s="202"/>
      <c r="D693" s="202"/>
      <c r="E693" s="202"/>
      <c r="F693" s="202"/>
      <c r="G693" s="202"/>
      <c r="H693" s="177"/>
      <c r="I693" s="177"/>
      <c r="J693" s="177"/>
      <c r="K693" s="177"/>
      <c r="L693" s="177"/>
      <c r="M693" s="177"/>
      <c r="N693" s="177"/>
      <c r="O693" s="177"/>
      <c r="P693" s="177"/>
      <c r="Q693" s="177"/>
      <c r="R693" s="177"/>
      <c r="S693" s="177"/>
      <c r="T693" s="177"/>
      <c r="U693" s="177"/>
      <c r="V693" s="177"/>
      <c r="W693" s="177"/>
      <c r="X693" s="177"/>
      <c r="Y693" s="177"/>
      <c r="Z693" s="177"/>
      <c r="AA693" s="177"/>
      <c r="AB693" s="177"/>
      <c r="AC693" s="177"/>
      <c r="AD693" s="177"/>
      <c r="AE693" s="177"/>
    </row>
    <row r="694" spans="1:31" ht="13.5" thickBot="1">
      <c r="A694" s="202"/>
      <c r="B694" s="202"/>
      <c r="C694" s="202"/>
      <c r="D694" s="202"/>
      <c r="E694" s="202"/>
      <c r="F694" s="202"/>
      <c r="G694" s="202"/>
      <c r="H694" s="177"/>
      <c r="I694" s="177"/>
      <c r="J694" s="177"/>
      <c r="K694" s="177"/>
      <c r="L694" s="177"/>
      <c r="M694" s="177"/>
      <c r="N694" s="177"/>
      <c r="O694" s="177"/>
      <c r="P694" s="177"/>
      <c r="Q694" s="177"/>
      <c r="R694" s="177"/>
      <c r="S694" s="177"/>
      <c r="T694" s="177"/>
      <c r="U694" s="177"/>
      <c r="V694" s="177"/>
      <c r="W694" s="177"/>
      <c r="X694" s="177"/>
      <c r="Y694" s="177"/>
      <c r="Z694" s="177"/>
      <c r="AA694" s="177"/>
      <c r="AB694" s="177"/>
      <c r="AC694" s="177"/>
      <c r="AD694" s="177"/>
      <c r="AE694" s="177"/>
    </row>
    <row r="695" spans="1:31" ht="13.5" thickBot="1">
      <c r="A695" s="202"/>
      <c r="B695" s="202"/>
      <c r="C695" s="202"/>
      <c r="D695" s="202"/>
      <c r="E695" s="202"/>
      <c r="F695" s="202"/>
      <c r="G695" s="202"/>
      <c r="H695" s="177"/>
      <c r="I695" s="177"/>
      <c r="J695" s="177"/>
      <c r="K695" s="177"/>
      <c r="L695" s="177"/>
      <c r="M695" s="177"/>
      <c r="N695" s="177"/>
      <c r="O695" s="177"/>
      <c r="P695" s="177"/>
      <c r="Q695" s="177"/>
      <c r="R695" s="177"/>
      <c r="S695" s="177"/>
      <c r="T695" s="177"/>
      <c r="U695" s="177"/>
      <c r="V695" s="177"/>
      <c r="W695" s="177"/>
      <c r="X695" s="177"/>
      <c r="Y695" s="177"/>
      <c r="Z695" s="177"/>
      <c r="AA695" s="177"/>
      <c r="AB695" s="177"/>
      <c r="AC695" s="177"/>
      <c r="AD695" s="177"/>
      <c r="AE695" s="177"/>
    </row>
    <row r="696" spans="1:31" ht="13.5" thickBot="1">
      <c r="A696" s="202"/>
      <c r="B696" s="202"/>
      <c r="C696" s="202"/>
      <c r="D696" s="202"/>
      <c r="E696" s="202"/>
      <c r="F696" s="202"/>
      <c r="G696" s="202"/>
      <c r="H696" s="177"/>
      <c r="I696" s="177"/>
      <c r="J696" s="177"/>
      <c r="K696" s="177"/>
      <c r="L696" s="177"/>
      <c r="M696" s="177"/>
      <c r="N696" s="177"/>
      <c r="O696" s="177"/>
      <c r="P696" s="177"/>
      <c r="Q696" s="177"/>
      <c r="R696" s="177"/>
      <c r="S696" s="177"/>
      <c r="T696" s="177"/>
      <c r="U696" s="177"/>
      <c r="V696" s="177"/>
      <c r="W696" s="177"/>
      <c r="X696" s="177"/>
      <c r="Y696" s="177"/>
      <c r="Z696" s="177"/>
      <c r="AA696" s="177"/>
      <c r="AB696" s="177"/>
      <c r="AC696" s="177"/>
      <c r="AD696" s="177"/>
      <c r="AE696" s="177"/>
    </row>
    <row r="697" spans="1:31" ht="13.5" thickBot="1">
      <c r="A697" s="202"/>
      <c r="B697" s="202"/>
      <c r="C697" s="202"/>
      <c r="D697" s="202"/>
      <c r="E697" s="202"/>
      <c r="F697" s="202"/>
      <c r="G697" s="202"/>
      <c r="H697" s="177"/>
      <c r="I697" s="177"/>
      <c r="J697" s="177"/>
      <c r="K697" s="177"/>
      <c r="L697" s="177"/>
      <c r="M697" s="177"/>
      <c r="N697" s="177"/>
      <c r="O697" s="177"/>
      <c r="P697" s="177"/>
      <c r="Q697" s="177"/>
      <c r="R697" s="177"/>
      <c r="S697" s="177"/>
      <c r="T697" s="177"/>
      <c r="U697" s="177"/>
      <c r="V697" s="177"/>
      <c r="W697" s="177"/>
      <c r="X697" s="177"/>
      <c r="Y697" s="177"/>
      <c r="Z697" s="177"/>
      <c r="AA697" s="177"/>
      <c r="AB697" s="177"/>
      <c r="AC697" s="177"/>
      <c r="AD697" s="177"/>
      <c r="AE697" s="177"/>
    </row>
    <row r="698" spans="1:31" ht="13.5" thickBot="1">
      <c r="A698" s="202"/>
      <c r="B698" s="202"/>
      <c r="C698" s="202"/>
      <c r="D698" s="202"/>
      <c r="E698" s="202"/>
      <c r="F698" s="202"/>
      <c r="G698" s="202"/>
      <c r="H698" s="177"/>
      <c r="I698" s="177"/>
      <c r="J698" s="177"/>
      <c r="K698" s="177"/>
      <c r="L698" s="177"/>
      <c r="M698" s="177"/>
      <c r="N698" s="177"/>
      <c r="O698" s="177"/>
      <c r="P698" s="177"/>
      <c r="Q698" s="177"/>
      <c r="R698" s="177"/>
      <c r="S698" s="177"/>
      <c r="T698" s="177"/>
      <c r="U698" s="177"/>
      <c r="V698" s="177"/>
      <c r="W698" s="177"/>
      <c r="X698" s="177"/>
      <c r="Y698" s="177"/>
      <c r="Z698" s="177"/>
      <c r="AA698" s="177"/>
      <c r="AB698" s="177"/>
      <c r="AC698" s="177"/>
      <c r="AD698" s="177"/>
      <c r="AE698" s="177"/>
    </row>
    <row r="699" spans="1:31" ht="13.5" thickBot="1">
      <c r="A699" s="202"/>
      <c r="B699" s="202"/>
      <c r="C699" s="202"/>
      <c r="D699" s="202"/>
      <c r="E699" s="202"/>
      <c r="F699" s="202"/>
      <c r="G699" s="202"/>
      <c r="H699" s="177"/>
      <c r="I699" s="177"/>
      <c r="J699" s="177"/>
      <c r="K699" s="177"/>
      <c r="L699" s="177"/>
      <c r="M699" s="177"/>
      <c r="N699" s="177"/>
      <c r="O699" s="177"/>
      <c r="P699" s="177"/>
      <c r="Q699" s="177"/>
      <c r="R699" s="177"/>
      <c r="S699" s="177"/>
      <c r="T699" s="177"/>
      <c r="U699" s="177"/>
      <c r="V699" s="177"/>
      <c r="W699" s="177"/>
      <c r="X699" s="177"/>
      <c r="Y699" s="177"/>
      <c r="Z699" s="177"/>
      <c r="AA699" s="177"/>
      <c r="AB699" s="177"/>
      <c r="AC699" s="177"/>
      <c r="AD699" s="177"/>
      <c r="AE699" s="177"/>
    </row>
    <row r="700" spans="1:31" ht="13.5" thickBot="1">
      <c r="A700" s="202"/>
      <c r="B700" s="202"/>
      <c r="C700" s="202"/>
      <c r="D700" s="202"/>
      <c r="E700" s="202"/>
      <c r="F700" s="202"/>
      <c r="G700" s="202"/>
      <c r="H700" s="177"/>
      <c r="I700" s="177"/>
      <c r="J700" s="177"/>
      <c r="K700" s="177"/>
      <c r="L700" s="177"/>
      <c r="M700" s="177"/>
      <c r="N700" s="177"/>
      <c r="O700" s="177"/>
      <c r="P700" s="177"/>
      <c r="Q700" s="177"/>
      <c r="R700" s="177"/>
      <c r="S700" s="177"/>
      <c r="T700" s="177"/>
      <c r="U700" s="177"/>
      <c r="V700" s="177"/>
      <c r="W700" s="177"/>
      <c r="X700" s="177"/>
      <c r="Y700" s="177"/>
      <c r="Z700" s="177"/>
      <c r="AA700" s="177"/>
      <c r="AB700" s="177"/>
      <c r="AC700" s="177"/>
      <c r="AD700" s="177"/>
      <c r="AE700" s="177"/>
    </row>
    <row r="701" spans="1:31" ht="13.5" thickBot="1">
      <c r="A701" s="202"/>
      <c r="B701" s="202"/>
      <c r="C701" s="202"/>
      <c r="D701" s="202"/>
      <c r="E701" s="202"/>
      <c r="F701" s="202"/>
      <c r="G701" s="202"/>
      <c r="H701" s="177"/>
      <c r="I701" s="177"/>
      <c r="J701" s="177"/>
      <c r="K701" s="177"/>
      <c r="L701" s="177"/>
      <c r="M701" s="177"/>
      <c r="N701" s="177"/>
      <c r="O701" s="177"/>
      <c r="P701" s="177"/>
      <c r="Q701" s="177"/>
      <c r="R701" s="177"/>
      <c r="S701" s="177"/>
      <c r="T701" s="177"/>
      <c r="U701" s="177"/>
      <c r="V701" s="177"/>
      <c r="W701" s="177"/>
      <c r="X701" s="177"/>
      <c r="Y701" s="177"/>
      <c r="Z701" s="177"/>
      <c r="AA701" s="177"/>
      <c r="AB701" s="177"/>
      <c r="AC701" s="177"/>
      <c r="AD701" s="177"/>
      <c r="AE701" s="177"/>
    </row>
    <row r="702" spans="1:31" ht="13.5" thickBot="1">
      <c r="A702" s="202"/>
      <c r="B702" s="202"/>
      <c r="C702" s="202"/>
      <c r="D702" s="202"/>
      <c r="E702" s="202"/>
      <c r="F702" s="202"/>
      <c r="G702" s="202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7"/>
      <c r="AA702" s="177"/>
      <c r="AB702" s="177"/>
      <c r="AC702" s="177"/>
      <c r="AD702" s="177"/>
      <c r="AE702" s="177"/>
    </row>
    <row r="703" spans="1:31" ht="13.5" thickBot="1">
      <c r="A703" s="202"/>
      <c r="B703" s="202"/>
      <c r="C703" s="202"/>
      <c r="D703" s="202"/>
      <c r="E703" s="202"/>
      <c r="F703" s="202"/>
      <c r="G703" s="202"/>
      <c r="H703" s="177"/>
      <c r="I703" s="177"/>
      <c r="J703" s="177"/>
      <c r="K703" s="177"/>
      <c r="L703" s="177"/>
      <c r="M703" s="177"/>
      <c r="N703" s="177"/>
      <c r="O703" s="177"/>
      <c r="P703" s="177"/>
      <c r="Q703" s="177"/>
      <c r="R703" s="177"/>
      <c r="S703" s="177"/>
      <c r="T703" s="177"/>
      <c r="U703" s="177"/>
      <c r="V703" s="177"/>
      <c r="W703" s="177"/>
      <c r="X703" s="177"/>
      <c r="Y703" s="177"/>
      <c r="Z703" s="177"/>
      <c r="AA703" s="177"/>
      <c r="AB703" s="177"/>
      <c r="AC703" s="177"/>
      <c r="AD703" s="177"/>
      <c r="AE703" s="177"/>
    </row>
    <row r="704" spans="1:31" ht="13.5" thickBot="1">
      <c r="A704" s="202"/>
      <c r="B704" s="202"/>
      <c r="C704" s="202"/>
      <c r="D704" s="202"/>
      <c r="E704" s="202"/>
      <c r="F704" s="202"/>
      <c r="G704" s="202"/>
      <c r="H704" s="177"/>
      <c r="I704" s="177"/>
      <c r="J704" s="177"/>
      <c r="K704" s="177"/>
      <c r="L704" s="177"/>
      <c r="M704" s="177"/>
      <c r="N704" s="177"/>
      <c r="O704" s="177"/>
      <c r="P704" s="177"/>
      <c r="Q704" s="177"/>
      <c r="R704" s="177"/>
      <c r="S704" s="177"/>
      <c r="T704" s="177"/>
      <c r="U704" s="177"/>
      <c r="V704" s="177"/>
      <c r="W704" s="177"/>
      <c r="X704" s="177"/>
      <c r="Y704" s="177"/>
      <c r="Z704" s="177"/>
      <c r="AA704" s="177"/>
      <c r="AB704" s="177"/>
      <c r="AC704" s="177"/>
      <c r="AD704" s="177"/>
      <c r="AE704" s="177"/>
    </row>
    <row r="705" spans="1:31" ht="13.5" thickBot="1">
      <c r="A705" s="202"/>
      <c r="B705" s="202"/>
      <c r="C705" s="202"/>
      <c r="D705" s="202"/>
      <c r="E705" s="202"/>
      <c r="F705" s="202"/>
      <c r="G705" s="202"/>
      <c r="H705" s="177"/>
      <c r="I705" s="177"/>
      <c r="J705" s="177"/>
      <c r="K705" s="177"/>
      <c r="L705" s="177"/>
      <c r="M705" s="177"/>
      <c r="N705" s="177"/>
      <c r="O705" s="177"/>
      <c r="P705" s="177"/>
      <c r="Q705" s="177"/>
      <c r="R705" s="177"/>
      <c r="S705" s="177"/>
      <c r="T705" s="177"/>
      <c r="U705" s="177"/>
      <c r="V705" s="177"/>
      <c r="W705" s="177"/>
      <c r="X705" s="177"/>
      <c r="Y705" s="177"/>
      <c r="Z705" s="177"/>
      <c r="AA705" s="177"/>
      <c r="AB705" s="177"/>
      <c r="AC705" s="177"/>
      <c r="AD705" s="177"/>
      <c r="AE705" s="177"/>
    </row>
    <row r="706" spans="1:31" ht="13.5" thickBot="1">
      <c r="A706" s="202"/>
      <c r="B706" s="202"/>
      <c r="C706" s="202"/>
      <c r="D706" s="202"/>
      <c r="E706" s="202"/>
      <c r="F706" s="202"/>
      <c r="G706" s="202"/>
      <c r="H706" s="177"/>
      <c r="I706" s="177"/>
      <c r="J706" s="177"/>
      <c r="K706" s="177"/>
      <c r="L706" s="177"/>
      <c r="M706" s="177"/>
      <c r="N706" s="177"/>
      <c r="O706" s="177"/>
      <c r="P706" s="177"/>
      <c r="Q706" s="177"/>
      <c r="R706" s="177"/>
      <c r="S706" s="177"/>
      <c r="T706" s="177"/>
      <c r="U706" s="177"/>
      <c r="V706" s="177"/>
      <c r="W706" s="177"/>
      <c r="X706" s="177"/>
      <c r="Y706" s="177"/>
      <c r="Z706" s="177"/>
      <c r="AA706" s="177"/>
      <c r="AB706" s="177"/>
      <c r="AC706" s="177"/>
      <c r="AD706" s="177"/>
      <c r="AE706" s="177"/>
    </row>
    <row r="707" spans="1:31" ht="13.5" thickBot="1">
      <c r="A707" s="202"/>
      <c r="B707" s="202"/>
      <c r="C707" s="202"/>
      <c r="D707" s="202"/>
      <c r="E707" s="202"/>
      <c r="F707" s="202"/>
      <c r="G707" s="202"/>
      <c r="H707" s="177"/>
      <c r="I707" s="177"/>
      <c r="J707" s="177"/>
      <c r="K707" s="177"/>
      <c r="L707" s="177"/>
      <c r="M707" s="177"/>
      <c r="N707" s="177"/>
      <c r="O707" s="177"/>
      <c r="P707" s="177"/>
      <c r="Q707" s="177"/>
      <c r="R707" s="177"/>
      <c r="S707" s="177"/>
      <c r="T707" s="177"/>
      <c r="U707" s="177"/>
      <c r="V707" s="177"/>
      <c r="W707" s="177"/>
      <c r="X707" s="177"/>
      <c r="Y707" s="177"/>
      <c r="Z707" s="177"/>
      <c r="AA707" s="177"/>
      <c r="AB707" s="177"/>
      <c r="AC707" s="177"/>
      <c r="AD707" s="177"/>
      <c r="AE707" s="177"/>
    </row>
    <row r="708" spans="1:31" ht="13.5" thickBot="1">
      <c r="A708" s="202"/>
      <c r="B708" s="202"/>
      <c r="C708" s="202"/>
      <c r="D708" s="202"/>
      <c r="E708" s="202"/>
      <c r="F708" s="202"/>
      <c r="G708" s="202"/>
      <c r="H708" s="177"/>
      <c r="I708" s="177"/>
      <c r="J708" s="177"/>
      <c r="K708" s="177"/>
      <c r="L708" s="177"/>
      <c r="M708" s="177"/>
      <c r="N708" s="177"/>
      <c r="O708" s="177"/>
      <c r="P708" s="177"/>
      <c r="Q708" s="177"/>
      <c r="R708" s="177"/>
      <c r="S708" s="177"/>
      <c r="T708" s="177"/>
      <c r="U708" s="177"/>
      <c r="V708" s="177"/>
      <c r="W708" s="177"/>
      <c r="X708" s="177"/>
      <c r="Y708" s="177"/>
      <c r="Z708" s="177"/>
      <c r="AA708" s="177"/>
      <c r="AB708" s="177"/>
      <c r="AC708" s="177"/>
      <c r="AD708" s="177"/>
      <c r="AE708" s="177"/>
    </row>
    <row r="709" spans="1:31" ht="13.5" thickBot="1">
      <c r="A709" s="202"/>
      <c r="B709" s="202"/>
      <c r="C709" s="202"/>
      <c r="D709" s="202"/>
      <c r="E709" s="202"/>
      <c r="F709" s="202"/>
      <c r="G709" s="202"/>
      <c r="H709" s="177"/>
      <c r="I709" s="177"/>
      <c r="J709" s="177"/>
      <c r="K709" s="177"/>
      <c r="L709" s="177"/>
      <c r="M709" s="177"/>
      <c r="N709" s="177"/>
      <c r="O709" s="177"/>
      <c r="P709" s="177"/>
      <c r="Q709" s="177"/>
      <c r="R709" s="177"/>
      <c r="S709" s="177"/>
      <c r="T709" s="177"/>
      <c r="U709" s="177"/>
      <c r="V709" s="177"/>
      <c r="W709" s="177"/>
      <c r="X709" s="177"/>
      <c r="Y709" s="177"/>
      <c r="Z709" s="177"/>
      <c r="AA709" s="177"/>
      <c r="AB709" s="177"/>
      <c r="AC709" s="177"/>
      <c r="AD709" s="177"/>
      <c r="AE709" s="177"/>
    </row>
    <row r="710" spans="1:31" ht="13.5" thickBot="1">
      <c r="A710" s="202"/>
      <c r="B710" s="202"/>
      <c r="C710" s="202"/>
      <c r="D710" s="202"/>
      <c r="E710" s="202"/>
      <c r="F710" s="202"/>
      <c r="G710" s="202"/>
      <c r="H710" s="177"/>
      <c r="I710" s="177"/>
      <c r="J710" s="177"/>
      <c r="K710" s="177"/>
      <c r="L710" s="177"/>
      <c r="M710" s="177"/>
      <c r="N710" s="177"/>
      <c r="O710" s="177"/>
      <c r="P710" s="177"/>
      <c r="Q710" s="177"/>
      <c r="R710" s="177"/>
      <c r="S710" s="177"/>
      <c r="T710" s="177"/>
      <c r="U710" s="177"/>
      <c r="V710" s="177"/>
      <c r="W710" s="177"/>
      <c r="X710" s="177"/>
      <c r="Y710" s="177"/>
      <c r="Z710" s="177"/>
      <c r="AA710" s="177"/>
      <c r="AB710" s="177"/>
      <c r="AC710" s="177"/>
      <c r="AD710" s="177"/>
      <c r="AE710" s="177"/>
    </row>
    <row r="711" spans="1:31" ht="13.5" thickBot="1">
      <c r="A711" s="202"/>
      <c r="B711" s="202"/>
      <c r="C711" s="202"/>
      <c r="D711" s="202"/>
      <c r="E711" s="202"/>
      <c r="F711" s="202"/>
      <c r="G711" s="202"/>
      <c r="H711" s="177"/>
      <c r="I711" s="177"/>
      <c r="J711" s="177"/>
      <c r="K711" s="177"/>
      <c r="L711" s="177"/>
      <c r="M711" s="177"/>
      <c r="N711" s="177"/>
      <c r="O711" s="177"/>
      <c r="P711" s="177"/>
      <c r="Q711" s="177"/>
      <c r="R711" s="177"/>
      <c r="S711" s="177"/>
      <c r="T711" s="177"/>
      <c r="U711" s="177"/>
      <c r="V711" s="177"/>
      <c r="W711" s="177"/>
      <c r="X711" s="177"/>
      <c r="Y711" s="177"/>
      <c r="Z711" s="177"/>
      <c r="AA711" s="177"/>
      <c r="AB711" s="177"/>
      <c r="AC711" s="177"/>
      <c r="AD711" s="177"/>
      <c r="AE711" s="177"/>
    </row>
    <row r="712" spans="1:31" ht="13.5" thickBot="1">
      <c r="A712" s="202"/>
      <c r="B712" s="202"/>
      <c r="C712" s="202"/>
      <c r="D712" s="202"/>
      <c r="E712" s="202"/>
      <c r="F712" s="202"/>
      <c r="G712" s="202"/>
      <c r="H712" s="177"/>
      <c r="I712" s="177"/>
      <c r="J712" s="177"/>
      <c r="K712" s="177"/>
      <c r="L712" s="177"/>
      <c r="M712" s="177"/>
      <c r="N712" s="177"/>
      <c r="O712" s="177"/>
      <c r="P712" s="177"/>
      <c r="Q712" s="177"/>
      <c r="R712" s="177"/>
      <c r="S712" s="177"/>
      <c r="T712" s="177"/>
      <c r="U712" s="177"/>
      <c r="V712" s="177"/>
      <c r="W712" s="177"/>
      <c r="X712" s="177"/>
      <c r="Y712" s="177"/>
      <c r="Z712" s="177"/>
      <c r="AA712" s="177"/>
      <c r="AB712" s="177"/>
      <c r="AC712" s="177"/>
      <c r="AD712" s="177"/>
      <c r="AE712" s="177"/>
    </row>
    <row r="713" spans="1:31" ht="13.5" thickBot="1">
      <c r="A713" s="202"/>
      <c r="B713" s="202"/>
      <c r="C713" s="202"/>
      <c r="D713" s="202"/>
      <c r="E713" s="202"/>
      <c r="F713" s="202"/>
      <c r="G713" s="202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</row>
    <row r="714" spans="1:31" ht="13.5" thickBot="1">
      <c r="A714" s="202"/>
      <c r="B714" s="202"/>
      <c r="C714" s="202"/>
      <c r="D714" s="202"/>
      <c r="E714" s="202"/>
      <c r="F714" s="202"/>
      <c r="G714" s="202"/>
      <c r="H714" s="177"/>
      <c r="I714" s="177"/>
      <c r="J714" s="177"/>
      <c r="K714" s="177"/>
      <c r="L714" s="177"/>
      <c r="M714" s="177"/>
      <c r="N714" s="177"/>
      <c r="O714" s="177"/>
      <c r="P714" s="177"/>
      <c r="Q714" s="177"/>
      <c r="R714" s="177"/>
      <c r="S714" s="177"/>
      <c r="T714" s="177"/>
      <c r="U714" s="177"/>
      <c r="V714" s="177"/>
      <c r="W714" s="177"/>
      <c r="X714" s="177"/>
      <c r="Y714" s="177"/>
      <c r="Z714" s="177"/>
      <c r="AA714" s="177"/>
      <c r="AB714" s="177"/>
      <c r="AC714" s="177"/>
      <c r="AD714" s="177"/>
      <c r="AE714" s="177"/>
    </row>
    <row r="715" spans="1:31" ht="13.5" thickBot="1">
      <c r="A715" s="202"/>
      <c r="B715" s="202"/>
      <c r="C715" s="202"/>
      <c r="D715" s="202"/>
      <c r="E715" s="202"/>
      <c r="F715" s="202"/>
      <c r="G715" s="202"/>
      <c r="H715" s="177"/>
      <c r="I715" s="177"/>
      <c r="J715" s="177"/>
      <c r="K715" s="177"/>
      <c r="L715" s="177"/>
      <c r="M715" s="177"/>
      <c r="N715" s="177"/>
      <c r="O715" s="177"/>
      <c r="P715" s="177"/>
      <c r="Q715" s="177"/>
      <c r="R715" s="177"/>
      <c r="S715" s="177"/>
      <c r="T715" s="177"/>
      <c r="U715" s="177"/>
      <c r="V715" s="177"/>
      <c r="W715" s="177"/>
      <c r="X715" s="177"/>
      <c r="Y715" s="177"/>
      <c r="Z715" s="177"/>
      <c r="AA715" s="177"/>
      <c r="AB715" s="177"/>
      <c r="AC715" s="177"/>
      <c r="AD715" s="177"/>
      <c r="AE715" s="177"/>
    </row>
    <row r="716" spans="1:31" ht="13.5" thickBot="1">
      <c r="A716" s="202"/>
      <c r="B716" s="202"/>
      <c r="C716" s="202"/>
      <c r="D716" s="202"/>
      <c r="E716" s="202"/>
      <c r="F716" s="202"/>
      <c r="G716" s="202"/>
      <c r="H716" s="177"/>
      <c r="I716" s="177"/>
      <c r="J716" s="177"/>
      <c r="K716" s="177"/>
      <c r="L716" s="177"/>
      <c r="M716" s="177"/>
      <c r="N716" s="177"/>
      <c r="O716" s="177"/>
      <c r="P716" s="177"/>
      <c r="Q716" s="177"/>
      <c r="R716" s="177"/>
      <c r="S716" s="177"/>
      <c r="T716" s="177"/>
      <c r="U716" s="177"/>
      <c r="V716" s="177"/>
      <c r="W716" s="177"/>
      <c r="X716" s="177"/>
      <c r="Y716" s="177"/>
      <c r="Z716" s="177"/>
      <c r="AA716" s="177"/>
      <c r="AB716" s="177"/>
      <c r="AC716" s="177"/>
      <c r="AD716" s="177"/>
      <c r="AE716" s="177"/>
    </row>
    <row r="717" spans="1:31" ht="13.5" thickBot="1">
      <c r="A717" s="202"/>
      <c r="B717" s="202"/>
      <c r="C717" s="202"/>
      <c r="D717" s="202"/>
      <c r="E717" s="202"/>
      <c r="F717" s="202"/>
      <c r="G717" s="202"/>
      <c r="H717" s="177"/>
      <c r="I717" s="177"/>
      <c r="J717" s="177"/>
      <c r="K717" s="177"/>
      <c r="L717" s="177"/>
      <c r="M717" s="177"/>
      <c r="N717" s="177"/>
      <c r="O717" s="177"/>
      <c r="P717" s="177"/>
      <c r="Q717" s="177"/>
      <c r="R717" s="177"/>
      <c r="S717" s="177"/>
      <c r="T717" s="177"/>
      <c r="U717" s="177"/>
      <c r="V717" s="177"/>
      <c r="W717" s="177"/>
      <c r="X717" s="177"/>
      <c r="Y717" s="177"/>
      <c r="Z717" s="177"/>
      <c r="AA717" s="177"/>
      <c r="AB717" s="177"/>
      <c r="AC717" s="177"/>
      <c r="AD717" s="177"/>
      <c r="AE717" s="177"/>
    </row>
    <row r="718" spans="1:31" ht="13.5" thickBot="1">
      <c r="A718" s="202"/>
      <c r="B718" s="202"/>
      <c r="C718" s="202"/>
      <c r="D718" s="202"/>
      <c r="E718" s="202"/>
      <c r="F718" s="202"/>
      <c r="G718" s="202"/>
      <c r="H718" s="177"/>
      <c r="I718" s="177"/>
      <c r="J718" s="177"/>
      <c r="K718" s="177"/>
      <c r="L718" s="177"/>
      <c r="M718" s="177"/>
      <c r="N718" s="177"/>
      <c r="O718" s="177"/>
      <c r="P718" s="177"/>
      <c r="Q718" s="177"/>
      <c r="R718" s="177"/>
      <c r="S718" s="177"/>
      <c r="T718" s="177"/>
      <c r="U718" s="177"/>
      <c r="V718" s="177"/>
      <c r="W718" s="177"/>
      <c r="X718" s="177"/>
      <c r="Y718" s="177"/>
      <c r="Z718" s="177"/>
      <c r="AA718" s="177"/>
      <c r="AB718" s="177"/>
      <c r="AC718" s="177"/>
      <c r="AD718" s="177"/>
      <c r="AE718" s="177"/>
    </row>
    <row r="719" spans="1:31" ht="13.5" thickBot="1">
      <c r="A719" s="202"/>
      <c r="B719" s="202"/>
      <c r="C719" s="202"/>
      <c r="D719" s="202"/>
      <c r="E719" s="202"/>
      <c r="F719" s="202"/>
      <c r="G719" s="202"/>
      <c r="H719" s="177"/>
      <c r="I719" s="177"/>
      <c r="J719" s="177"/>
      <c r="K719" s="177"/>
      <c r="L719" s="177"/>
      <c r="M719" s="177"/>
      <c r="N719" s="177"/>
      <c r="O719" s="177"/>
      <c r="P719" s="177"/>
      <c r="Q719" s="177"/>
      <c r="R719" s="177"/>
      <c r="S719" s="177"/>
      <c r="T719" s="177"/>
      <c r="U719" s="177"/>
      <c r="V719" s="177"/>
      <c r="W719" s="177"/>
      <c r="X719" s="177"/>
      <c r="Y719" s="177"/>
      <c r="Z719" s="177"/>
      <c r="AA719" s="177"/>
      <c r="AB719" s="177"/>
      <c r="AC719" s="177"/>
      <c r="AD719" s="177"/>
      <c r="AE719" s="177"/>
    </row>
    <row r="720" spans="1:31" ht="13.5" thickBot="1">
      <c r="A720" s="202"/>
      <c r="B720" s="202"/>
      <c r="C720" s="202"/>
      <c r="D720" s="202"/>
      <c r="E720" s="202"/>
      <c r="F720" s="202"/>
      <c r="G720" s="202"/>
      <c r="H720" s="177"/>
      <c r="I720" s="177"/>
      <c r="J720" s="177"/>
      <c r="K720" s="177"/>
      <c r="L720" s="177"/>
      <c r="M720" s="177"/>
      <c r="N720" s="177"/>
      <c r="O720" s="177"/>
      <c r="P720" s="177"/>
      <c r="Q720" s="177"/>
      <c r="R720" s="177"/>
      <c r="S720" s="177"/>
      <c r="T720" s="177"/>
      <c r="U720" s="177"/>
      <c r="V720" s="177"/>
      <c r="W720" s="177"/>
      <c r="X720" s="177"/>
      <c r="Y720" s="177"/>
      <c r="Z720" s="177"/>
      <c r="AA720" s="177"/>
      <c r="AB720" s="177"/>
      <c r="AC720" s="177"/>
      <c r="AD720" s="177"/>
      <c r="AE720" s="177"/>
    </row>
    <row r="721" spans="1:31" ht="13.5" thickBot="1">
      <c r="A721" s="202"/>
      <c r="B721" s="202"/>
      <c r="C721" s="202"/>
      <c r="D721" s="202"/>
      <c r="E721" s="202"/>
      <c r="F721" s="202"/>
      <c r="G721" s="202"/>
      <c r="H721" s="177"/>
      <c r="I721" s="177"/>
      <c r="J721" s="177"/>
      <c r="K721" s="177"/>
      <c r="L721" s="177"/>
      <c r="M721" s="177"/>
      <c r="N721" s="177"/>
      <c r="O721" s="177"/>
      <c r="P721" s="177"/>
      <c r="Q721" s="177"/>
      <c r="R721" s="177"/>
      <c r="S721" s="177"/>
      <c r="T721" s="177"/>
      <c r="U721" s="177"/>
      <c r="V721" s="177"/>
      <c r="W721" s="177"/>
      <c r="X721" s="177"/>
      <c r="Y721" s="177"/>
      <c r="Z721" s="177"/>
      <c r="AA721" s="177"/>
      <c r="AB721" s="177"/>
      <c r="AC721" s="177"/>
      <c r="AD721" s="177"/>
      <c r="AE721" s="177"/>
    </row>
    <row r="722" spans="1:31" ht="13.5" thickBot="1">
      <c r="A722" s="202"/>
      <c r="B722" s="202"/>
      <c r="C722" s="202"/>
      <c r="D722" s="202"/>
      <c r="E722" s="202"/>
      <c r="F722" s="202"/>
      <c r="G722" s="202"/>
      <c r="H722" s="177"/>
      <c r="I722" s="177"/>
      <c r="J722" s="177"/>
      <c r="K722" s="177"/>
      <c r="L722" s="177"/>
      <c r="M722" s="177"/>
      <c r="N722" s="177"/>
      <c r="O722" s="177"/>
      <c r="P722" s="177"/>
      <c r="Q722" s="177"/>
      <c r="R722" s="177"/>
      <c r="S722" s="177"/>
      <c r="T722" s="177"/>
      <c r="U722" s="177"/>
      <c r="V722" s="177"/>
      <c r="W722" s="177"/>
      <c r="X722" s="177"/>
      <c r="Y722" s="177"/>
      <c r="Z722" s="177"/>
      <c r="AA722" s="177"/>
      <c r="AB722" s="177"/>
      <c r="AC722" s="177"/>
      <c r="AD722" s="177"/>
      <c r="AE722" s="177"/>
    </row>
    <row r="723" spans="1:31" ht="13.5" thickBot="1">
      <c r="A723" s="202"/>
      <c r="B723" s="202"/>
      <c r="C723" s="202"/>
      <c r="D723" s="202"/>
      <c r="E723" s="202"/>
      <c r="F723" s="202"/>
      <c r="G723" s="202"/>
      <c r="H723" s="177"/>
      <c r="I723" s="177"/>
      <c r="J723" s="177"/>
      <c r="K723" s="177"/>
      <c r="L723" s="177"/>
      <c r="M723" s="177"/>
      <c r="N723" s="177"/>
      <c r="O723" s="177"/>
      <c r="P723" s="177"/>
      <c r="Q723" s="177"/>
      <c r="R723" s="177"/>
      <c r="S723" s="177"/>
      <c r="T723" s="177"/>
      <c r="U723" s="177"/>
      <c r="V723" s="177"/>
      <c r="W723" s="177"/>
      <c r="X723" s="177"/>
      <c r="Y723" s="177"/>
      <c r="Z723" s="177"/>
      <c r="AA723" s="177"/>
      <c r="AB723" s="177"/>
      <c r="AC723" s="177"/>
      <c r="AD723" s="177"/>
      <c r="AE723" s="177"/>
    </row>
    <row r="724" spans="1:31" ht="13.5" thickBot="1">
      <c r="A724" s="202"/>
      <c r="B724" s="202"/>
      <c r="C724" s="202"/>
      <c r="D724" s="202"/>
      <c r="E724" s="202"/>
      <c r="F724" s="202"/>
      <c r="G724" s="202"/>
      <c r="H724" s="177"/>
      <c r="I724" s="177"/>
      <c r="J724" s="177"/>
      <c r="K724" s="177"/>
      <c r="L724" s="177"/>
      <c r="M724" s="177"/>
      <c r="N724" s="177"/>
      <c r="O724" s="177"/>
      <c r="P724" s="177"/>
      <c r="Q724" s="177"/>
      <c r="R724" s="177"/>
      <c r="S724" s="177"/>
      <c r="T724" s="177"/>
      <c r="U724" s="177"/>
      <c r="V724" s="177"/>
      <c r="W724" s="177"/>
      <c r="X724" s="177"/>
      <c r="Y724" s="177"/>
      <c r="Z724" s="177"/>
      <c r="AA724" s="177"/>
      <c r="AB724" s="177"/>
      <c r="AC724" s="177"/>
      <c r="AD724" s="177"/>
      <c r="AE724" s="177"/>
    </row>
    <row r="725" spans="1:31" ht="13.5" thickBot="1">
      <c r="A725" s="202"/>
      <c r="B725" s="202"/>
      <c r="C725" s="202"/>
      <c r="D725" s="202"/>
      <c r="E725" s="202"/>
      <c r="F725" s="202"/>
      <c r="G725" s="202"/>
      <c r="H725" s="177"/>
      <c r="I725" s="177"/>
      <c r="J725" s="177"/>
      <c r="K725" s="177"/>
      <c r="L725" s="177"/>
      <c r="M725" s="177"/>
      <c r="N725" s="177"/>
      <c r="O725" s="177"/>
      <c r="P725" s="177"/>
      <c r="Q725" s="177"/>
      <c r="R725" s="177"/>
      <c r="S725" s="177"/>
      <c r="T725" s="177"/>
      <c r="U725" s="177"/>
      <c r="V725" s="177"/>
      <c r="W725" s="177"/>
      <c r="X725" s="177"/>
      <c r="Y725" s="177"/>
      <c r="Z725" s="177"/>
      <c r="AA725" s="177"/>
      <c r="AB725" s="177"/>
      <c r="AC725" s="177"/>
      <c r="AD725" s="177"/>
      <c r="AE725" s="177"/>
    </row>
    <row r="726" spans="1:31" ht="13.5" thickBot="1">
      <c r="A726" s="202"/>
      <c r="B726" s="202"/>
      <c r="C726" s="202"/>
      <c r="D726" s="202"/>
      <c r="E726" s="202"/>
      <c r="F726" s="202"/>
      <c r="G726" s="202"/>
      <c r="H726" s="177"/>
      <c r="I726" s="177"/>
      <c r="J726" s="177"/>
      <c r="K726" s="177"/>
      <c r="L726" s="177"/>
      <c r="M726" s="177"/>
      <c r="N726" s="177"/>
      <c r="O726" s="177"/>
      <c r="P726" s="177"/>
      <c r="Q726" s="177"/>
      <c r="R726" s="177"/>
      <c r="S726" s="177"/>
      <c r="T726" s="177"/>
      <c r="U726" s="177"/>
      <c r="V726" s="177"/>
      <c r="W726" s="177"/>
      <c r="X726" s="177"/>
      <c r="Y726" s="177"/>
      <c r="Z726" s="177"/>
      <c r="AA726" s="177"/>
      <c r="AB726" s="177"/>
      <c r="AC726" s="177"/>
      <c r="AD726" s="177"/>
      <c r="AE726" s="177"/>
    </row>
    <row r="727" spans="1:31" ht="13.5" thickBot="1">
      <c r="A727" s="202"/>
      <c r="B727" s="202"/>
      <c r="C727" s="202"/>
      <c r="D727" s="202"/>
      <c r="E727" s="202"/>
      <c r="F727" s="202"/>
      <c r="G727" s="202"/>
      <c r="H727" s="177"/>
      <c r="I727" s="177"/>
      <c r="J727" s="177"/>
      <c r="K727" s="177"/>
      <c r="L727" s="177"/>
      <c r="M727" s="177"/>
      <c r="N727" s="177"/>
      <c r="O727" s="177"/>
      <c r="P727" s="177"/>
      <c r="Q727" s="177"/>
      <c r="R727" s="177"/>
      <c r="S727" s="177"/>
      <c r="T727" s="177"/>
      <c r="U727" s="177"/>
      <c r="V727" s="177"/>
      <c r="W727" s="177"/>
      <c r="X727" s="177"/>
      <c r="Y727" s="177"/>
      <c r="Z727" s="177"/>
      <c r="AA727" s="177"/>
      <c r="AB727" s="177"/>
      <c r="AC727" s="177"/>
      <c r="AD727" s="177"/>
      <c r="AE727" s="177"/>
    </row>
    <row r="728" spans="1:31" ht="13.5" thickBot="1">
      <c r="A728" s="202"/>
      <c r="B728" s="202"/>
      <c r="C728" s="202"/>
      <c r="D728" s="202"/>
      <c r="E728" s="202"/>
      <c r="F728" s="202"/>
      <c r="G728" s="202"/>
      <c r="H728" s="177"/>
      <c r="I728" s="177"/>
      <c r="J728" s="177"/>
      <c r="K728" s="177"/>
      <c r="L728" s="177"/>
      <c r="M728" s="177"/>
      <c r="N728" s="177"/>
      <c r="O728" s="177"/>
      <c r="P728" s="177"/>
      <c r="Q728" s="177"/>
      <c r="R728" s="177"/>
      <c r="S728" s="177"/>
      <c r="T728" s="177"/>
      <c r="U728" s="177"/>
      <c r="V728" s="177"/>
      <c r="W728" s="177"/>
      <c r="X728" s="177"/>
      <c r="Y728" s="177"/>
      <c r="Z728" s="177"/>
      <c r="AA728" s="177"/>
      <c r="AB728" s="177"/>
      <c r="AC728" s="177"/>
      <c r="AD728" s="177"/>
      <c r="AE728" s="177"/>
    </row>
    <row r="729" spans="1:31" ht="13.5" thickBot="1">
      <c r="A729" s="202"/>
      <c r="B729" s="202"/>
      <c r="C729" s="202"/>
      <c r="D729" s="202"/>
      <c r="E729" s="202"/>
      <c r="F729" s="202"/>
      <c r="G729" s="202"/>
      <c r="H729" s="177"/>
      <c r="I729" s="177"/>
      <c r="J729" s="177"/>
      <c r="K729" s="177"/>
      <c r="L729" s="177"/>
      <c r="M729" s="177"/>
      <c r="N729" s="177"/>
      <c r="O729" s="177"/>
      <c r="P729" s="177"/>
      <c r="Q729" s="177"/>
      <c r="R729" s="177"/>
      <c r="S729" s="177"/>
      <c r="T729" s="177"/>
      <c r="U729" s="177"/>
      <c r="V729" s="177"/>
      <c r="W729" s="177"/>
      <c r="X729" s="177"/>
      <c r="Y729" s="177"/>
      <c r="Z729" s="177"/>
      <c r="AA729" s="177"/>
      <c r="AB729" s="177"/>
      <c r="AC729" s="177"/>
      <c r="AD729" s="177"/>
      <c r="AE729" s="177"/>
    </row>
    <row r="730" spans="1:31" ht="13.5" thickBot="1">
      <c r="A730" s="202"/>
      <c r="B730" s="202"/>
      <c r="C730" s="202"/>
      <c r="D730" s="202"/>
      <c r="E730" s="202"/>
      <c r="F730" s="202"/>
      <c r="G730" s="202"/>
      <c r="H730" s="177"/>
      <c r="I730" s="177"/>
      <c r="J730" s="177"/>
      <c r="K730" s="177"/>
      <c r="L730" s="177"/>
      <c r="M730" s="177"/>
      <c r="N730" s="177"/>
      <c r="O730" s="177"/>
      <c r="P730" s="177"/>
      <c r="Q730" s="177"/>
      <c r="R730" s="177"/>
      <c r="S730" s="177"/>
      <c r="T730" s="177"/>
      <c r="U730" s="177"/>
      <c r="V730" s="177"/>
      <c r="W730" s="177"/>
      <c r="X730" s="177"/>
      <c r="Y730" s="177"/>
      <c r="Z730" s="177"/>
      <c r="AA730" s="177"/>
      <c r="AB730" s="177"/>
      <c r="AC730" s="177"/>
      <c r="AD730" s="177"/>
      <c r="AE730" s="177"/>
    </row>
    <row r="731" spans="1:31" ht="13.5" thickBot="1">
      <c r="A731" s="202"/>
      <c r="B731" s="202"/>
      <c r="C731" s="202"/>
      <c r="D731" s="202"/>
      <c r="E731" s="202"/>
      <c r="F731" s="202"/>
      <c r="G731" s="202"/>
      <c r="H731" s="177"/>
      <c r="I731" s="177"/>
      <c r="J731" s="177"/>
      <c r="K731" s="177"/>
      <c r="L731" s="177"/>
      <c r="M731" s="177"/>
      <c r="N731" s="177"/>
      <c r="O731" s="177"/>
      <c r="P731" s="177"/>
      <c r="Q731" s="177"/>
      <c r="R731" s="177"/>
      <c r="S731" s="177"/>
      <c r="T731" s="177"/>
      <c r="U731" s="177"/>
      <c r="V731" s="177"/>
      <c r="W731" s="177"/>
      <c r="X731" s="177"/>
      <c r="Y731" s="177"/>
      <c r="Z731" s="177"/>
      <c r="AA731" s="177"/>
      <c r="AB731" s="177"/>
      <c r="AC731" s="177"/>
      <c r="AD731" s="177"/>
      <c r="AE731" s="177"/>
    </row>
    <row r="732" spans="1:31" ht="13.5" thickBot="1">
      <c r="A732" s="202"/>
      <c r="B732" s="202"/>
      <c r="C732" s="202"/>
      <c r="D732" s="202"/>
      <c r="E732" s="202"/>
      <c r="F732" s="202"/>
      <c r="G732" s="202"/>
      <c r="H732" s="177"/>
      <c r="I732" s="177"/>
      <c r="J732" s="177"/>
      <c r="K732" s="177"/>
      <c r="L732" s="177"/>
      <c r="M732" s="177"/>
      <c r="N732" s="177"/>
      <c r="O732" s="177"/>
      <c r="P732" s="177"/>
      <c r="Q732" s="177"/>
      <c r="R732" s="177"/>
      <c r="S732" s="177"/>
      <c r="T732" s="177"/>
      <c r="U732" s="177"/>
      <c r="V732" s="177"/>
      <c r="W732" s="177"/>
      <c r="X732" s="177"/>
      <c r="Y732" s="177"/>
      <c r="Z732" s="177"/>
      <c r="AA732" s="177"/>
      <c r="AB732" s="177"/>
      <c r="AC732" s="177"/>
      <c r="AD732" s="177"/>
      <c r="AE732" s="177"/>
    </row>
    <row r="733" spans="1:31" ht="13.5" thickBot="1">
      <c r="A733" s="202"/>
      <c r="B733" s="202"/>
      <c r="C733" s="202"/>
      <c r="D733" s="202"/>
      <c r="E733" s="202"/>
      <c r="F733" s="202"/>
      <c r="G733" s="202"/>
      <c r="H733" s="177"/>
      <c r="I733" s="177"/>
      <c r="J733" s="177"/>
      <c r="K733" s="177"/>
      <c r="L733" s="177"/>
      <c r="M733" s="177"/>
      <c r="N733" s="177"/>
      <c r="O733" s="177"/>
      <c r="P733" s="177"/>
      <c r="Q733" s="177"/>
      <c r="R733" s="177"/>
      <c r="S733" s="177"/>
      <c r="T733" s="177"/>
      <c r="U733" s="177"/>
      <c r="V733" s="177"/>
      <c r="W733" s="177"/>
      <c r="X733" s="177"/>
      <c r="Y733" s="177"/>
      <c r="Z733" s="177"/>
      <c r="AA733" s="177"/>
      <c r="AB733" s="177"/>
      <c r="AC733" s="177"/>
      <c r="AD733" s="177"/>
      <c r="AE733" s="177"/>
    </row>
    <row r="734" spans="1:31" ht="13.5" thickBot="1">
      <c r="A734" s="202"/>
      <c r="B734" s="202"/>
      <c r="C734" s="202"/>
      <c r="D734" s="202"/>
      <c r="E734" s="202"/>
      <c r="F734" s="202"/>
      <c r="G734" s="202"/>
      <c r="H734" s="177"/>
      <c r="I734" s="177"/>
      <c r="J734" s="177"/>
      <c r="K734" s="177"/>
      <c r="L734" s="177"/>
      <c r="M734" s="177"/>
      <c r="N734" s="177"/>
      <c r="O734" s="177"/>
      <c r="P734" s="177"/>
      <c r="Q734" s="177"/>
      <c r="R734" s="177"/>
      <c r="S734" s="177"/>
      <c r="T734" s="177"/>
      <c r="U734" s="177"/>
      <c r="V734" s="177"/>
      <c r="W734" s="177"/>
      <c r="X734" s="177"/>
      <c r="Y734" s="177"/>
      <c r="Z734" s="177"/>
      <c r="AA734" s="177"/>
      <c r="AB734" s="177"/>
      <c r="AC734" s="177"/>
      <c r="AD734" s="177"/>
      <c r="AE734" s="177"/>
    </row>
    <row r="735" spans="1:31" ht="13.5" thickBot="1">
      <c r="A735" s="202"/>
      <c r="B735" s="202"/>
      <c r="C735" s="202"/>
      <c r="D735" s="202"/>
      <c r="E735" s="202"/>
      <c r="F735" s="202"/>
      <c r="G735" s="202"/>
      <c r="H735" s="177"/>
      <c r="I735" s="177"/>
      <c r="J735" s="177"/>
      <c r="K735" s="177"/>
      <c r="L735" s="177"/>
      <c r="M735" s="177"/>
      <c r="N735" s="177"/>
      <c r="O735" s="177"/>
      <c r="P735" s="177"/>
      <c r="Q735" s="177"/>
      <c r="R735" s="177"/>
      <c r="S735" s="177"/>
      <c r="T735" s="177"/>
      <c r="U735" s="177"/>
      <c r="V735" s="177"/>
      <c r="W735" s="177"/>
      <c r="X735" s="177"/>
      <c r="Y735" s="177"/>
      <c r="Z735" s="177"/>
      <c r="AA735" s="177"/>
      <c r="AB735" s="177"/>
      <c r="AC735" s="177"/>
      <c r="AD735" s="177"/>
      <c r="AE735" s="177"/>
    </row>
    <row r="736" spans="1:31" ht="13.5" thickBot="1">
      <c r="A736" s="202"/>
      <c r="B736" s="202"/>
      <c r="C736" s="202"/>
      <c r="D736" s="202"/>
      <c r="E736" s="202"/>
      <c r="F736" s="202"/>
      <c r="G736" s="202"/>
      <c r="H736" s="177"/>
      <c r="I736" s="177"/>
      <c r="J736" s="177"/>
      <c r="K736" s="177"/>
      <c r="L736" s="177"/>
      <c r="M736" s="177"/>
      <c r="N736" s="177"/>
      <c r="O736" s="177"/>
      <c r="P736" s="177"/>
      <c r="Q736" s="177"/>
      <c r="R736" s="177"/>
      <c r="S736" s="177"/>
      <c r="T736" s="177"/>
      <c r="U736" s="177"/>
      <c r="V736" s="177"/>
      <c r="W736" s="177"/>
      <c r="X736" s="177"/>
      <c r="Y736" s="177"/>
      <c r="Z736" s="177"/>
      <c r="AA736" s="177"/>
      <c r="AB736" s="177"/>
      <c r="AC736" s="177"/>
      <c r="AD736" s="177"/>
      <c r="AE736" s="177"/>
    </row>
    <row r="737" spans="1:31" ht="13.5" thickBot="1">
      <c r="A737" s="202"/>
      <c r="B737" s="202"/>
      <c r="C737" s="202"/>
      <c r="D737" s="202"/>
      <c r="E737" s="202"/>
      <c r="F737" s="202"/>
      <c r="G737" s="202"/>
      <c r="H737" s="177"/>
      <c r="I737" s="177"/>
      <c r="J737" s="177"/>
      <c r="K737" s="177"/>
      <c r="L737" s="177"/>
      <c r="M737" s="177"/>
      <c r="N737" s="177"/>
      <c r="O737" s="177"/>
      <c r="P737" s="177"/>
      <c r="Q737" s="177"/>
      <c r="R737" s="177"/>
      <c r="S737" s="177"/>
      <c r="T737" s="177"/>
      <c r="U737" s="177"/>
      <c r="V737" s="177"/>
      <c r="W737" s="177"/>
      <c r="X737" s="177"/>
      <c r="Y737" s="177"/>
      <c r="Z737" s="177"/>
      <c r="AA737" s="177"/>
      <c r="AB737" s="177"/>
      <c r="AC737" s="177"/>
      <c r="AD737" s="177"/>
      <c r="AE737" s="177"/>
    </row>
    <row r="738" spans="1:31" ht="13.5" thickBot="1">
      <c r="A738" s="202"/>
      <c r="B738" s="202"/>
      <c r="C738" s="202"/>
      <c r="D738" s="202"/>
      <c r="E738" s="202"/>
      <c r="F738" s="202"/>
      <c r="G738" s="202"/>
      <c r="H738" s="177"/>
      <c r="I738" s="177"/>
      <c r="J738" s="177"/>
      <c r="K738" s="177"/>
      <c r="L738" s="177"/>
      <c r="M738" s="177"/>
      <c r="N738" s="177"/>
      <c r="O738" s="177"/>
      <c r="P738" s="177"/>
      <c r="Q738" s="177"/>
      <c r="R738" s="177"/>
      <c r="S738" s="177"/>
      <c r="T738" s="177"/>
      <c r="U738" s="177"/>
      <c r="V738" s="177"/>
      <c r="W738" s="177"/>
      <c r="X738" s="177"/>
      <c r="Y738" s="177"/>
      <c r="Z738" s="177"/>
      <c r="AA738" s="177"/>
      <c r="AB738" s="177"/>
      <c r="AC738" s="177"/>
      <c r="AD738" s="177"/>
      <c r="AE738" s="177"/>
    </row>
    <row r="739" spans="1:31" ht="13.5" thickBot="1">
      <c r="A739" s="202"/>
      <c r="B739" s="202"/>
      <c r="C739" s="202"/>
      <c r="D739" s="202"/>
      <c r="E739" s="202"/>
      <c r="F739" s="202"/>
      <c r="G739" s="202"/>
      <c r="H739" s="177"/>
      <c r="I739" s="177"/>
      <c r="J739" s="177"/>
      <c r="K739" s="177"/>
      <c r="L739" s="177"/>
      <c r="M739" s="177"/>
      <c r="N739" s="177"/>
      <c r="O739" s="177"/>
      <c r="P739" s="177"/>
      <c r="Q739" s="177"/>
      <c r="R739" s="177"/>
      <c r="S739" s="177"/>
      <c r="T739" s="177"/>
      <c r="U739" s="177"/>
      <c r="V739" s="177"/>
      <c r="W739" s="177"/>
      <c r="X739" s="177"/>
      <c r="Y739" s="177"/>
      <c r="Z739" s="177"/>
      <c r="AA739" s="177"/>
      <c r="AB739" s="177"/>
      <c r="AC739" s="177"/>
      <c r="AD739" s="177"/>
      <c r="AE739" s="177"/>
    </row>
    <row r="740" spans="1:31" ht="13.5" thickBot="1">
      <c r="A740" s="202"/>
      <c r="B740" s="202"/>
      <c r="C740" s="202"/>
      <c r="D740" s="202"/>
      <c r="E740" s="202"/>
      <c r="F740" s="202"/>
      <c r="G740" s="202"/>
      <c r="H740" s="177"/>
      <c r="I740" s="177"/>
      <c r="J740" s="177"/>
      <c r="K740" s="177"/>
      <c r="L740" s="177"/>
      <c r="M740" s="177"/>
      <c r="N740" s="177"/>
      <c r="O740" s="177"/>
      <c r="P740" s="177"/>
      <c r="Q740" s="177"/>
      <c r="R740" s="177"/>
      <c r="S740" s="177"/>
      <c r="T740" s="177"/>
      <c r="U740" s="177"/>
      <c r="V740" s="177"/>
      <c r="W740" s="177"/>
      <c r="X740" s="177"/>
      <c r="Y740" s="177"/>
      <c r="Z740" s="177"/>
      <c r="AA740" s="177"/>
      <c r="AB740" s="177"/>
      <c r="AC740" s="177"/>
      <c r="AD740" s="177"/>
      <c r="AE740" s="177"/>
    </row>
    <row r="741" spans="1:31" ht="13.5" thickBot="1">
      <c r="A741" s="202"/>
      <c r="B741" s="202"/>
      <c r="C741" s="202"/>
      <c r="D741" s="202"/>
      <c r="E741" s="202"/>
      <c r="F741" s="202"/>
      <c r="G741" s="202"/>
      <c r="H741" s="177"/>
      <c r="I741" s="177"/>
      <c r="J741" s="177"/>
      <c r="K741" s="177"/>
      <c r="L741" s="177"/>
      <c r="M741" s="177"/>
      <c r="N741" s="177"/>
      <c r="O741" s="177"/>
      <c r="P741" s="177"/>
      <c r="Q741" s="177"/>
      <c r="R741" s="177"/>
      <c r="S741" s="177"/>
      <c r="T741" s="177"/>
      <c r="U741" s="177"/>
      <c r="V741" s="177"/>
      <c r="W741" s="177"/>
      <c r="X741" s="177"/>
      <c r="Y741" s="177"/>
      <c r="Z741" s="177"/>
      <c r="AA741" s="177"/>
      <c r="AB741" s="177"/>
      <c r="AC741" s="177"/>
      <c r="AD741" s="177"/>
      <c r="AE741" s="177"/>
    </row>
    <row r="742" spans="1:31" ht="13.5" thickBot="1">
      <c r="A742" s="202"/>
      <c r="B742" s="202"/>
      <c r="C742" s="202"/>
      <c r="D742" s="202"/>
      <c r="E742" s="202"/>
      <c r="F742" s="202"/>
      <c r="G742" s="202"/>
      <c r="H742" s="177"/>
      <c r="I742" s="177"/>
      <c r="J742" s="177"/>
      <c r="K742" s="177"/>
      <c r="L742" s="177"/>
      <c r="M742" s="177"/>
      <c r="N742" s="177"/>
      <c r="O742" s="177"/>
      <c r="P742" s="177"/>
      <c r="Q742" s="177"/>
      <c r="R742" s="177"/>
      <c r="S742" s="177"/>
      <c r="T742" s="177"/>
      <c r="U742" s="177"/>
      <c r="V742" s="177"/>
      <c r="W742" s="177"/>
      <c r="X742" s="177"/>
      <c r="Y742" s="177"/>
      <c r="Z742" s="177"/>
      <c r="AA742" s="177"/>
      <c r="AB742" s="177"/>
      <c r="AC742" s="177"/>
      <c r="AD742" s="177"/>
      <c r="AE742" s="177"/>
    </row>
    <row r="743" spans="1:31" ht="13.5" thickBot="1">
      <c r="A743" s="202"/>
      <c r="B743" s="202"/>
      <c r="C743" s="202"/>
      <c r="D743" s="202"/>
      <c r="E743" s="202"/>
      <c r="F743" s="202"/>
      <c r="G743" s="202"/>
      <c r="H743" s="177"/>
      <c r="I743" s="177"/>
      <c r="J743" s="177"/>
      <c r="K743" s="177"/>
      <c r="L743" s="177"/>
      <c r="M743" s="177"/>
      <c r="N743" s="177"/>
      <c r="O743" s="177"/>
      <c r="P743" s="177"/>
      <c r="Q743" s="177"/>
      <c r="R743" s="177"/>
      <c r="S743" s="177"/>
      <c r="T743" s="177"/>
      <c r="U743" s="177"/>
      <c r="V743" s="177"/>
      <c r="W743" s="177"/>
      <c r="X743" s="177"/>
      <c r="Y743" s="177"/>
      <c r="Z743" s="177"/>
      <c r="AA743" s="177"/>
      <c r="AB743" s="177"/>
      <c r="AC743" s="177"/>
      <c r="AD743" s="177"/>
      <c r="AE743" s="177"/>
    </row>
    <row r="744" spans="1:31" ht="13.5" thickBot="1">
      <c r="A744" s="202"/>
      <c r="B744" s="202"/>
      <c r="C744" s="202"/>
      <c r="D744" s="202"/>
      <c r="E744" s="202"/>
      <c r="F744" s="202"/>
      <c r="G744" s="202"/>
      <c r="H744" s="177"/>
      <c r="I744" s="177"/>
      <c r="J744" s="177"/>
      <c r="K744" s="177"/>
      <c r="L744" s="177"/>
      <c r="M744" s="177"/>
      <c r="N744" s="177"/>
      <c r="O744" s="177"/>
      <c r="P744" s="177"/>
      <c r="Q744" s="177"/>
      <c r="R744" s="177"/>
      <c r="S744" s="177"/>
      <c r="T744" s="177"/>
      <c r="U744" s="177"/>
      <c r="V744" s="177"/>
      <c r="W744" s="177"/>
      <c r="X744" s="177"/>
      <c r="Y744" s="177"/>
      <c r="Z744" s="177"/>
      <c r="AA744" s="177"/>
      <c r="AB744" s="177"/>
      <c r="AC744" s="177"/>
      <c r="AD744" s="177"/>
      <c r="AE744" s="177"/>
    </row>
    <row r="745" spans="1:31" ht="13.5" thickBot="1">
      <c r="A745" s="202"/>
      <c r="B745" s="202"/>
      <c r="C745" s="202"/>
      <c r="D745" s="202"/>
      <c r="E745" s="202"/>
      <c r="F745" s="202"/>
      <c r="G745" s="202"/>
      <c r="H745" s="177"/>
      <c r="I745" s="177"/>
      <c r="J745" s="177"/>
      <c r="K745" s="177"/>
      <c r="L745" s="177"/>
      <c r="M745" s="177"/>
      <c r="N745" s="177"/>
      <c r="O745" s="177"/>
      <c r="P745" s="177"/>
      <c r="Q745" s="177"/>
      <c r="R745" s="177"/>
      <c r="S745" s="177"/>
      <c r="T745" s="177"/>
      <c r="U745" s="177"/>
      <c r="V745" s="177"/>
      <c r="W745" s="177"/>
      <c r="X745" s="177"/>
      <c r="Y745" s="177"/>
      <c r="Z745" s="177"/>
      <c r="AA745" s="177"/>
      <c r="AB745" s="177"/>
      <c r="AC745" s="177"/>
      <c r="AD745" s="177"/>
      <c r="AE745" s="177"/>
    </row>
    <row r="746" spans="1:31" ht="13.5" thickBot="1">
      <c r="A746" s="202"/>
      <c r="B746" s="202"/>
      <c r="C746" s="202"/>
      <c r="D746" s="202"/>
      <c r="E746" s="202"/>
      <c r="F746" s="202"/>
      <c r="G746" s="202"/>
      <c r="H746" s="177"/>
      <c r="I746" s="177"/>
      <c r="J746" s="177"/>
      <c r="K746" s="177"/>
      <c r="L746" s="177"/>
      <c r="M746" s="177"/>
      <c r="N746" s="177"/>
      <c r="O746" s="177"/>
      <c r="P746" s="177"/>
      <c r="Q746" s="177"/>
      <c r="R746" s="177"/>
      <c r="S746" s="177"/>
      <c r="T746" s="177"/>
      <c r="U746" s="177"/>
      <c r="V746" s="177"/>
      <c r="W746" s="177"/>
      <c r="X746" s="177"/>
      <c r="Y746" s="177"/>
      <c r="Z746" s="177"/>
      <c r="AA746" s="177"/>
      <c r="AB746" s="177"/>
      <c r="AC746" s="177"/>
      <c r="AD746" s="177"/>
      <c r="AE746" s="177"/>
    </row>
    <row r="747" spans="1:31" ht="13.5" thickBot="1">
      <c r="A747" s="202"/>
      <c r="B747" s="202"/>
      <c r="C747" s="202"/>
      <c r="D747" s="202"/>
      <c r="E747" s="202"/>
      <c r="F747" s="202"/>
      <c r="G747" s="202"/>
      <c r="H747" s="177"/>
      <c r="I747" s="177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77"/>
      <c r="AE747" s="177"/>
    </row>
    <row r="748" spans="1:31" ht="13.5" thickBot="1">
      <c r="A748" s="202"/>
      <c r="B748" s="202"/>
      <c r="C748" s="202"/>
      <c r="D748" s="202"/>
      <c r="E748" s="202"/>
      <c r="F748" s="202"/>
      <c r="G748" s="202"/>
      <c r="H748" s="177"/>
      <c r="I748" s="177"/>
      <c r="J748" s="177"/>
      <c r="K748" s="177"/>
      <c r="L748" s="177"/>
      <c r="M748" s="177"/>
      <c r="N748" s="177"/>
      <c r="O748" s="177"/>
      <c r="P748" s="177"/>
      <c r="Q748" s="177"/>
      <c r="R748" s="177"/>
      <c r="S748" s="177"/>
      <c r="T748" s="177"/>
      <c r="U748" s="177"/>
      <c r="V748" s="177"/>
      <c r="W748" s="177"/>
      <c r="X748" s="177"/>
      <c r="Y748" s="177"/>
      <c r="Z748" s="177"/>
      <c r="AA748" s="177"/>
      <c r="AB748" s="177"/>
      <c r="AC748" s="177"/>
      <c r="AD748" s="177"/>
      <c r="AE748" s="177"/>
    </row>
    <row r="749" spans="1:31" ht="13.5" thickBot="1">
      <c r="A749" s="202"/>
      <c r="B749" s="202"/>
      <c r="C749" s="202"/>
      <c r="D749" s="202"/>
      <c r="E749" s="202"/>
      <c r="F749" s="202"/>
      <c r="G749" s="202"/>
      <c r="H749" s="177"/>
      <c r="I749" s="177"/>
      <c r="J749" s="177"/>
      <c r="K749" s="177"/>
      <c r="L749" s="177"/>
      <c r="M749" s="177"/>
      <c r="N749" s="177"/>
      <c r="O749" s="177"/>
      <c r="P749" s="177"/>
      <c r="Q749" s="177"/>
      <c r="R749" s="177"/>
      <c r="S749" s="177"/>
      <c r="T749" s="177"/>
      <c r="U749" s="177"/>
      <c r="V749" s="177"/>
      <c r="W749" s="177"/>
      <c r="X749" s="177"/>
      <c r="Y749" s="177"/>
      <c r="Z749" s="177"/>
      <c r="AA749" s="177"/>
      <c r="AB749" s="177"/>
      <c r="AC749" s="177"/>
      <c r="AD749" s="177"/>
      <c r="AE749" s="177"/>
    </row>
    <row r="750" spans="1:31" ht="13.5" thickBot="1">
      <c r="A750" s="202"/>
      <c r="B750" s="202"/>
      <c r="C750" s="202"/>
      <c r="D750" s="202"/>
      <c r="E750" s="202"/>
      <c r="F750" s="202"/>
      <c r="G750" s="202"/>
      <c r="H750" s="177"/>
      <c r="I750" s="177"/>
      <c r="J750" s="177"/>
      <c r="K750" s="177"/>
      <c r="L750" s="177"/>
      <c r="M750" s="177"/>
      <c r="N750" s="177"/>
      <c r="O750" s="177"/>
      <c r="P750" s="177"/>
      <c r="Q750" s="177"/>
      <c r="R750" s="177"/>
      <c r="S750" s="177"/>
      <c r="T750" s="177"/>
      <c r="U750" s="177"/>
      <c r="V750" s="177"/>
      <c r="W750" s="177"/>
      <c r="X750" s="177"/>
      <c r="Y750" s="177"/>
      <c r="Z750" s="177"/>
      <c r="AA750" s="177"/>
      <c r="AB750" s="177"/>
      <c r="AC750" s="177"/>
      <c r="AD750" s="177"/>
      <c r="AE750" s="177"/>
    </row>
    <row r="751" spans="1:31" ht="13.5" thickBot="1">
      <c r="A751" s="202"/>
      <c r="B751" s="202"/>
      <c r="C751" s="202"/>
      <c r="D751" s="202"/>
      <c r="E751" s="202"/>
      <c r="F751" s="202"/>
      <c r="G751" s="202"/>
      <c r="H751" s="177"/>
      <c r="I751" s="177"/>
      <c r="J751" s="177"/>
      <c r="K751" s="177"/>
      <c r="L751" s="177"/>
      <c r="M751" s="177"/>
      <c r="N751" s="177"/>
      <c r="O751" s="177"/>
      <c r="P751" s="177"/>
      <c r="Q751" s="177"/>
      <c r="R751" s="177"/>
      <c r="S751" s="177"/>
      <c r="T751" s="177"/>
      <c r="U751" s="177"/>
      <c r="V751" s="177"/>
      <c r="W751" s="177"/>
      <c r="X751" s="177"/>
      <c r="Y751" s="177"/>
      <c r="Z751" s="177"/>
      <c r="AA751" s="177"/>
      <c r="AB751" s="177"/>
      <c r="AC751" s="177"/>
      <c r="AD751" s="177"/>
      <c r="AE751" s="177"/>
    </row>
    <row r="752" spans="1:31" ht="13.5" thickBot="1">
      <c r="A752" s="202"/>
      <c r="B752" s="202"/>
      <c r="C752" s="202"/>
      <c r="D752" s="202"/>
      <c r="E752" s="202"/>
      <c r="F752" s="202"/>
      <c r="G752" s="202"/>
      <c r="H752" s="177"/>
      <c r="I752" s="177"/>
      <c r="J752" s="177"/>
      <c r="K752" s="177"/>
      <c r="L752" s="177"/>
      <c r="M752" s="177"/>
      <c r="N752" s="177"/>
      <c r="O752" s="177"/>
      <c r="P752" s="177"/>
      <c r="Q752" s="177"/>
      <c r="R752" s="177"/>
      <c r="S752" s="177"/>
      <c r="T752" s="177"/>
      <c r="U752" s="177"/>
      <c r="V752" s="177"/>
      <c r="W752" s="177"/>
      <c r="X752" s="177"/>
      <c r="Y752" s="177"/>
      <c r="Z752" s="177"/>
      <c r="AA752" s="177"/>
      <c r="AB752" s="177"/>
      <c r="AC752" s="177"/>
      <c r="AD752" s="177"/>
      <c r="AE752" s="177"/>
    </row>
    <row r="753" spans="1:31" ht="13.5" thickBot="1">
      <c r="A753" s="202"/>
      <c r="B753" s="202"/>
      <c r="C753" s="202"/>
      <c r="D753" s="202"/>
      <c r="E753" s="202"/>
      <c r="F753" s="202"/>
      <c r="G753" s="202"/>
      <c r="H753" s="177"/>
      <c r="I753" s="177"/>
      <c r="J753" s="177"/>
      <c r="K753" s="177"/>
      <c r="L753" s="177"/>
      <c r="M753" s="177"/>
      <c r="N753" s="177"/>
      <c r="O753" s="177"/>
      <c r="P753" s="177"/>
      <c r="Q753" s="177"/>
      <c r="R753" s="177"/>
      <c r="S753" s="177"/>
      <c r="T753" s="177"/>
      <c r="U753" s="177"/>
      <c r="V753" s="177"/>
      <c r="W753" s="177"/>
      <c r="X753" s="177"/>
      <c r="Y753" s="177"/>
      <c r="Z753" s="177"/>
      <c r="AA753" s="177"/>
      <c r="AB753" s="177"/>
      <c r="AC753" s="177"/>
      <c r="AD753" s="177"/>
      <c r="AE753" s="177"/>
    </row>
    <row r="754" spans="1:31" ht="13.5" thickBot="1">
      <c r="A754" s="202"/>
      <c r="B754" s="202"/>
      <c r="C754" s="202"/>
      <c r="D754" s="202"/>
      <c r="E754" s="202"/>
      <c r="F754" s="202"/>
      <c r="G754" s="202"/>
      <c r="H754" s="177"/>
      <c r="I754" s="177"/>
      <c r="J754" s="177"/>
      <c r="K754" s="177"/>
      <c r="L754" s="177"/>
      <c r="M754" s="177"/>
      <c r="N754" s="177"/>
      <c r="O754" s="177"/>
      <c r="P754" s="177"/>
      <c r="Q754" s="177"/>
      <c r="R754" s="177"/>
      <c r="S754" s="177"/>
      <c r="T754" s="177"/>
      <c r="U754" s="177"/>
      <c r="V754" s="177"/>
      <c r="W754" s="177"/>
      <c r="X754" s="177"/>
      <c r="Y754" s="177"/>
      <c r="Z754" s="177"/>
      <c r="AA754" s="177"/>
      <c r="AB754" s="177"/>
      <c r="AC754" s="177"/>
      <c r="AD754" s="177"/>
      <c r="AE754" s="177"/>
    </row>
    <row r="755" spans="1:31" ht="13.5" thickBot="1">
      <c r="A755" s="202"/>
      <c r="B755" s="202"/>
      <c r="C755" s="202"/>
      <c r="D755" s="202"/>
      <c r="E755" s="202"/>
      <c r="F755" s="202"/>
      <c r="G755" s="202"/>
      <c r="H755" s="177"/>
      <c r="I755" s="177"/>
      <c r="J755" s="177"/>
      <c r="K755" s="177"/>
      <c r="L755" s="177"/>
      <c r="M755" s="177"/>
      <c r="N755" s="177"/>
      <c r="O755" s="177"/>
      <c r="P755" s="177"/>
      <c r="Q755" s="177"/>
      <c r="R755" s="177"/>
      <c r="S755" s="177"/>
      <c r="T755" s="177"/>
      <c r="U755" s="177"/>
      <c r="V755" s="177"/>
      <c r="W755" s="177"/>
      <c r="X755" s="177"/>
      <c r="Y755" s="177"/>
      <c r="Z755" s="177"/>
      <c r="AA755" s="177"/>
      <c r="AB755" s="177"/>
      <c r="AC755" s="177"/>
      <c r="AD755" s="177"/>
      <c r="AE755" s="177"/>
    </row>
    <row r="756" spans="1:31" ht="13.5" thickBot="1">
      <c r="A756" s="202"/>
      <c r="B756" s="202"/>
      <c r="C756" s="202"/>
      <c r="D756" s="202"/>
      <c r="E756" s="202"/>
      <c r="F756" s="202"/>
      <c r="G756" s="202"/>
      <c r="H756" s="177"/>
      <c r="I756" s="177"/>
      <c r="J756" s="177"/>
      <c r="K756" s="177"/>
      <c r="L756" s="177"/>
      <c r="M756" s="177"/>
      <c r="N756" s="177"/>
      <c r="O756" s="177"/>
      <c r="P756" s="177"/>
      <c r="Q756" s="177"/>
      <c r="R756" s="177"/>
      <c r="S756" s="177"/>
      <c r="T756" s="177"/>
      <c r="U756" s="177"/>
      <c r="V756" s="177"/>
      <c r="W756" s="177"/>
      <c r="X756" s="177"/>
      <c r="Y756" s="177"/>
      <c r="Z756" s="177"/>
      <c r="AA756" s="177"/>
      <c r="AB756" s="177"/>
      <c r="AC756" s="177"/>
      <c r="AD756" s="177"/>
      <c r="AE756" s="177"/>
    </row>
    <row r="757" spans="1:31" ht="13.5" thickBot="1">
      <c r="A757" s="202"/>
      <c r="B757" s="202"/>
      <c r="C757" s="202"/>
      <c r="D757" s="202"/>
      <c r="E757" s="202"/>
      <c r="F757" s="202"/>
      <c r="G757" s="202"/>
      <c r="H757" s="177"/>
      <c r="I757" s="177"/>
      <c r="J757" s="177"/>
      <c r="K757" s="177"/>
      <c r="L757" s="177"/>
      <c r="M757" s="177"/>
      <c r="N757" s="177"/>
      <c r="O757" s="177"/>
      <c r="P757" s="177"/>
      <c r="Q757" s="177"/>
      <c r="R757" s="177"/>
      <c r="S757" s="177"/>
      <c r="T757" s="177"/>
      <c r="U757" s="177"/>
      <c r="V757" s="177"/>
      <c r="W757" s="177"/>
      <c r="X757" s="177"/>
      <c r="Y757" s="177"/>
      <c r="Z757" s="177"/>
      <c r="AA757" s="177"/>
      <c r="AB757" s="177"/>
      <c r="AC757" s="177"/>
      <c r="AD757" s="177"/>
      <c r="AE757" s="177"/>
    </row>
    <row r="758" spans="1:31" ht="13.5" thickBot="1">
      <c r="A758" s="202"/>
      <c r="B758" s="202"/>
      <c r="C758" s="202"/>
      <c r="D758" s="202"/>
      <c r="E758" s="202"/>
      <c r="F758" s="202"/>
      <c r="G758" s="202"/>
      <c r="H758" s="177"/>
      <c r="I758" s="177"/>
      <c r="J758" s="177"/>
      <c r="K758" s="177"/>
      <c r="L758" s="177"/>
      <c r="M758" s="177"/>
      <c r="N758" s="177"/>
      <c r="O758" s="177"/>
      <c r="P758" s="177"/>
      <c r="Q758" s="177"/>
      <c r="R758" s="177"/>
      <c r="S758" s="177"/>
      <c r="T758" s="177"/>
      <c r="U758" s="177"/>
      <c r="V758" s="177"/>
      <c r="W758" s="177"/>
      <c r="X758" s="177"/>
      <c r="Y758" s="177"/>
      <c r="Z758" s="177"/>
      <c r="AA758" s="177"/>
      <c r="AB758" s="177"/>
      <c r="AC758" s="177"/>
      <c r="AD758" s="177"/>
      <c r="AE758" s="177"/>
    </row>
    <row r="759" spans="1:31" ht="13.5" thickBot="1">
      <c r="A759" s="202"/>
      <c r="B759" s="202"/>
      <c r="C759" s="202"/>
      <c r="D759" s="202"/>
      <c r="E759" s="202"/>
      <c r="F759" s="202"/>
      <c r="G759" s="202"/>
      <c r="H759" s="177"/>
      <c r="I759" s="177"/>
      <c r="J759" s="177"/>
      <c r="K759" s="177"/>
      <c r="L759" s="177"/>
      <c r="M759" s="177"/>
      <c r="N759" s="177"/>
      <c r="O759" s="177"/>
      <c r="P759" s="177"/>
      <c r="Q759" s="177"/>
      <c r="R759" s="177"/>
      <c r="S759" s="177"/>
      <c r="T759" s="177"/>
      <c r="U759" s="177"/>
      <c r="V759" s="177"/>
      <c r="W759" s="177"/>
      <c r="X759" s="177"/>
      <c r="Y759" s="177"/>
      <c r="Z759" s="177"/>
      <c r="AA759" s="177"/>
      <c r="AB759" s="177"/>
      <c r="AC759" s="177"/>
      <c r="AD759" s="177"/>
      <c r="AE759" s="177"/>
    </row>
    <row r="760" spans="1:31" ht="13.5" thickBot="1">
      <c r="A760" s="202"/>
      <c r="B760" s="202"/>
      <c r="C760" s="202"/>
      <c r="D760" s="202"/>
      <c r="E760" s="202"/>
      <c r="F760" s="202"/>
      <c r="G760" s="202"/>
      <c r="H760" s="177"/>
      <c r="I760" s="177"/>
      <c r="J760" s="177"/>
      <c r="K760" s="177"/>
      <c r="L760" s="177"/>
      <c r="M760" s="177"/>
      <c r="N760" s="177"/>
      <c r="O760" s="177"/>
      <c r="P760" s="177"/>
      <c r="Q760" s="177"/>
      <c r="R760" s="177"/>
      <c r="S760" s="177"/>
      <c r="T760" s="177"/>
      <c r="U760" s="177"/>
      <c r="V760" s="177"/>
      <c r="W760" s="177"/>
      <c r="X760" s="177"/>
      <c r="Y760" s="177"/>
      <c r="Z760" s="177"/>
      <c r="AA760" s="177"/>
      <c r="AB760" s="177"/>
      <c r="AC760" s="177"/>
      <c r="AD760" s="177"/>
      <c r="AE760" s="177"/>
    </row>
    <row r="761" spans="1:31" ht="13.5" thickBot="1">
      <c r="A761" s="202"/>
      <c r="B761" s="202"/>
      <c r="C761" s="202"/>
      <c r="D761" s="202"/>
      <c r="E761" s="202"/>
      <c r="F761" s="202"/>
      <c r="G761" s="202"/>
      <c r="H761" s="177"/>
      <c r="I761" s="177"/>
      <c r="J761" s="177"/>
      <c r="K761" s="177"/>
      <c r="L761" s="177"/>
      <c r="M761" s="177"/>
      <c r="N761" s="177"/>
      <c r="O761" s="177"/>
      <c r="P761" s="177"/>
      <c r="Q761" s="177"/>
      <c r="R761" s="177"/>
      <c r="S761" s="177"/>
      <c r="T761" s="177"/>
      <c r="U761" s="177"/>
      <c r="V761" s="177"/>
      <c r="W761" s="177"/>
      <c r="X761" s="177"/>
      <c r="Y761" s="177"/>
      <c r="Z761" s="177"/>
      <c r="AA761" s="177"/>
      <c r="AB761" s="177"/>
      <c r="AC761" s="177"/>
      <c r="AD761" s="177"/>
      <c r="AE761" s="177"/>
    </row>
    <row r="762" spans="1:31" ht="13.5" thickBot="1">
      <c r="A762" s="202"/>
      <c r="B762" s="202"/>
      <c r="C762" s="202"/>
      <c r="D762" s="202"/>
      <c r="E762" s="202"/>
      <c r="F762" s="202"/>
      <c r="G762" s="202"/>
      <c r="H762" s="177"/>
      <c r="I762" s="177"/>
      <c r="J762" s="177"/>
      <c r="K762" s="177"/>
      <c r="L762" s="177"/>
      <c r="M762" s="177"/>
      <c r="N762" s="177"/>
      <c r="O762" s="177"/>
      <c r="P762" s="177"/>
      <c r="Q762" s="177"/>
      <c r="R762" s="177"/>
      <c r="S762" s="177"/>
      <c r="T762" s="177"/>
      <c r="U762" s="177"/>
      <c r="V762" s="177"/>
      <c r="W762" s="177"/>
      <c r="X762" s="177"/>
      <c r="Y762" s="177"/>
      <c r="Z762" s="177"/>
      <c r="AA762" s="177"/>
      <c r="AB762" s="177"/>
      <c r="AC762" s="177"/>
      <c r="AD762" s="177"/>
      <c r="AE762" s="177"/>
    </row>
    <row r="763" spans="1:31" ht="13.5" thickBot="1">
      <c r="A763" s="202"/>
      <c r="B763" s="202"/>
      <c r="C763" s="202"/>
      <c r="D763" s="202"/>
      <c r="E763" s="202"/>
      <c r="F763" s="202"/>
      <c r="G763" s="202"/>
      <c r="H763" s="177"/>
      <c r="I763" s="177"/>
      <c r="J763" s="177"/>
      <c r="K763" s="177"/>
      <c r="L763" s="177"/>
      <c r="M763" s="177"/>
      <c r="N763" s="177"/>
      <c r="O763" s="177"/>
      <c r="P763" s="177"/>
      <c r="Q763" s="177"/>
      <c r="R763" s="177"/>
      <c r="S763" s="177"/>
      <c r="T763" s="177"/>
      <c r="U763" s="177"/>
      <c r="V763" s="177"/>
      <c r="W763" s="177"/>
      <c r="X763" s="177"/>
      <c r="Y763" s="177"/>
      <c r="Z763" s="177"/>
      <c r="AA763" s="177"/>
      <c r="AB763" s="177"/>
      <c r="AC763" s="177"/>
      <c r="AD763" s="177"/>
      <c r="AE763" s="177"/>
    </row>
    <row r="764" spans="1:31" ht="13.5" thickBot="1">
      <c r="A764" s="202"/>
      <c r="B764" s="202"/>
      <c r="C764" s="202"/>
      <c r="D764" s="202"/>
      <c r="E764" s="202"/>
      <c r="F764" s="202"/>
      <c r="G764" s="202"/>
      <c r="H764" s="177"/>
      <c r="I764" s="177"/>
      <c r="J764" s="177"/>
      <c r="K764" s="177"/>
      <c r="L764" s="177"/>
      <c r="M764" s="177"/>
      <c r="N764" s="177"/>
      <c r="O764" s="177"/>
      <c r="P764" s="177"/>
      <c r="Q764" s="177"/>
      <c r="R764" s="177"/>
      <c r="S764" s="177"/>
      <c r="T764" s="177"/>
      <c r="U764" s="177"/>
      <c r="V764" s="177"/>
      <c r="W764" s="177"/>
      <c r="X764" s="177"/>
      <c r="Y764" s="177"/>
      <c r="Z764" s="177"/>
      <c r="AA764" s="177"/>
      <c r="AB764" s="177"/>
      <c r="AC764" s="177"/>
      <c r="AD764" s="177"/>
      <c r="AE764" s="177"/>
    </row>
    <row r="765" spans="1:31" ht="13.5" thickBot="1">
      <c r="A765" s="202"/>
      <c r="B765" s="202"/>
      <c r="C765" s="202"/>
      <c r="D765" s="202"/>
      <c r="E765" s="202"/>
      <c r="F765" s="202"/>
      <c r="G765" s="202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</row>
    <row r="766" spans="1:31" ht="13.5" thickBot="1">
      <c r="A766" s="202"/>
      <c r="B766" s="202"/>
      <c r="C766" s="202"/>
      <c r="D766" s="202"/>
      <c r="E766" s="202"/>
      <c r="F766" s="202"/>
      <c r="G766" s="202"/>
      <c r="H766" s="177"/>
      <c r="I766" s="177"/>
      <c r="J766" s="177"/>
      <c r="K766" s="177"/>
      <c r="L766" s="177"/>
      <c r="M766" s="177"/>
      <c r="N766" s="177"/>
      <c r="O766" s="177"/>
      <c r="P766" s="177"/>
      <c r="Q766" s="177"/>
      <c r="R766" s="177"/>
      <c r="S766" s="177"/>
      <c r="T766" s="177"/>
      <c r="U766" s="177"/>
      <c r="V766" s="177"/>
      <c r="W766" s="177"/>
      <c r="X766" s="177"/>
      <c r="Y766" s="177"/>
      <c r="Z766" s="177"/>
      <c r="AA766" s="177"/>
      <c r="AB766" s="177"/>
      <c r="AC766" s="177"/>
      <c r="AD766" s="177"/>
      <c r="AE766" s="177"/>
    </row>
    <row r="767" spans="1:31" ht="13.5" thickBot="1">
      <c r="A767" s="202"/>
      <c r="B767" s="202"/>
      <c r="C767" s="202"/>
      <c r="D767" s="202"/>
      <c r="E767" s="202"/>
      <c r="F767" s="202"/>
      <c r="G767" s="202"/>
      <c r="H767" s="177"/>
      <c r="I767" s="177"/>
      <c r="J767" s="177"/>
      <c r="K767" s="177"/>
      <c r="L767" s="177"/>
      <c r="M767" s="177"/>
      <c r="N767" s="177"/>
      <c r="O767" s="177"/>
      <c r="P767" s="177"/>
      <c r="Q767" s="177"/>
      <c r="R767" s="177"/>
      <c r="S767" s="177"/>
      <c r="T767" s="177"/>
      <c r="U767" s="177"/>
      <c r="V767" s="177"/>
      <c r="W767" s="177"/>
      <c r="X767" s="177"/>
      <c r="Y767" s="177"/>
      <c r="Z767" s="177"/>
      <c r="AA767" s="177"/>
      <c r="AB767" s="177"/>
      <c r="AC767" s="177"/>
      <c r="AD767" s="177"/>
      <c r="AE767" s="177"/>
    </row>
    <row r="768" spans="1:31" ht="13.5" thickBot="1">
      <c r="A768" s="202"/>
      <c r="B768" s="202"/>
      <c r="C768" s="202"/>
      <c r="D768" s="202"/>
      <c r="E768" s="202"/>
      <c r="F768" s="202"/>
      <c r="G768" s="202"/>
      <c r="H768" s="177"/>
      <c r="I768" s="177"/>
      <c r="J768" s="177"/>
      <c r="K768" s="177"/>
      <c r="L768" s="177"/>
      <c r="M768" s="177"/>
      <c r="N768" s="177"/>
      <c r="O768" s="177"/>
      <c r="P768" s="177"/>
      <c r="Q768" s="177"/>
      <c r="R768" s="177"/>
      <c r="S768" s="177"/>
      <c r="T768" s="177"/>
      <c r="U768" s="177"/>
      <c r="V768" s="177"/>
      <c r="W768" s="177"/>
      <c r="X768" s="177"/>
      <c r="Y768" s="177"/>
      <c r="Z768" s="177"/>
      <c r="AA768" s="177"/>
      <c r="AB768" s="177"/>
      <c r="AC768" s="177"/>
      <c r="AD768" s="177"/>
      <c r="AE768" s="177"/>
    </row>
    <row r="769" spans="1:31" ht="13.5" thickBot="1">
      <c r="A769" s="202"/>
      <c r="B769" s="202"/>
      <c r="C769" s="202"/>
      <c r="D769" s="202"/>
      <c r="E769" s="202"/>
      <c r="F769" s="202"/>
      <c r="G769" s="202"/>
      <c r="H769" s="177"/>
      <c r="I769" s="177"/>
      <c r="J769" s="177"/>
      <c r="K769" s="177"/>
      <c r="L769" s="177"/>
      <c r="M769" s="177"/>
      <c r="N769" s="177"/>
      <c r="O769" s="177"/>
      <c r="P769" s="177"/>
      <c r="Q769" s="177"/>
      <c r="R769" s="177"/>
      <c r="S769" s="177"/>
      <c r="T769" s="177"/>
      <c r="U769" s="177"/>
      <c r="V769" s="177"/>
      <c r="W769" s="177"/>
      <c r="X769" s="177"/>
      <c r="Y769" s="177"/>
      <c r="Z769" s="177"/>
      <c r="AA769" s="177"/>
      <c r="AB769" s="177"/>
      <c r="AC769" s="177"/>
      <c r="AD769" s="177"/>
      <c r="AE769" s="177"/>
    </row>
    <row r="770" spans="1:31" ht="13.5" thickBot="1">
      <c r="A770" s="202"/>
      <c r="B770" s="202"/>
      <c r="C770" s="202"/>
      <c r="D770" s="202"/>
      <c r="E770" s="202"/>
      <c r="F770" s="202"/>
      <c r="G770" s="202"/>
      <c r="H770" s="177"/>
      <c r="I770" s="177"/>
      <c r="J770" s="177"/>
      <c r="K770" s="177"/>
      <c r="L770" s="177"/>
      <c r="M770" s="177"/>
      <c r="N770" s="177"/>
      <c r="O770" s="177"/>
      <c r="P770" s="177"/>
      <c r="Q770" s="177"/>
      <c r="R770" s="177"/>
      <c r="S770" s="177"/>
      <c r="T770" s="177"/>
      <c r="U770" s="177"/>
      <c r="V770" s="177"/>
      <c r="W770" s="177"/>
      <c r="X770" s="177"/>
      <c r="Y770" s="177"/>
      <c r="Z770" s="177"/>
      <c r="AA770" s="177"/>
      <c r="AB770" s="177"/>
      <c r="AC770" s="177"/>
      <c r="AD770" s="177"/>
      <c r="AE770" s="177"/>
    </row>
    <row r="771" spans="1:31" ht="13.5" thickBot="1">
      <c r="A771" s="202"/>
      <c r="B771" s="202"/>
      <c r="C771" s="202"/>
      <c r="D771" s="202"/>
      <c r="E771" s="202"/>
      <c r="F771" s="202"/>
      <c r="G771" s="202"/>
      <c r="H771" s="177"/>
      <c r="I771" s="177"/>
      <c r="J771" s="177"/>
      <c r="K771" s="177"/>
      <c r="L771" s="177"/>
      <c r="M771" s="177"/>
      <c r="N771" s="177"/>
      <c r="O771" s="177"/>
      <c r="P771" s="177"/>
      <c r="Q771" s="177"/>
      <c r="R771" s="177"/>
      <c r="S771" s="177"/>
      <c r="T771" s="177"/>
      <c r="U771" s="177"/>
      <c r="V771" s="177"/>
      <c r="W771" s="177"/>
      <c r="X771" s="177"/>
      <c r="Y771" s="177"/>
      <c r="Z771" s="177"/>
      <c r="AA771" s="177"/>
      <c r="AB771" s="177"/>
      <c r="AC771" s="177"/>
      <c r="AD771" s="177"/>
      <c r="AE771" s="177"/>
    </row>
    <row r="772" spans="1:31" ht="13.5" thickBot="1">
      <c r="A772" s="202"/>
      <c r="B772" s="202"/>
      <c r="C772" s="202"/>
      <c r="D772" s="202"/>
      <c r="E772" s="202"/>
      <c r="F772" s="202"/>
      <c r="G772" s="202"/>
      <c r="H772" s="177"/>
      <c r="I772" s="177"/>
      <c r="J772" s="177"/>
      <c r="K772" s="177"/>
      <c r="L772" s="177"/>
      <c r="M772" s="177"/>
      <c r="N772" s="177"/>
      <c r="O772" s="177"/>
      <c r="P772" s="177"/>
      <c r="Q772" s="177"/>
      <c r="R772" s="177"/>
      <c r="S772" s="177"/>
      <c r="T772" s="177"/>
      <c r="U772" s="177"/>
      <c r="V772" s="177"/>
      <c r="W772" s="177"/>
      <c r="X772" s="177"/>
      <c r="Y772" s="177"/>
      <c r="Z772" s="177"/>
      <c r="AA772" s="177"/>
      <c r="AB772" s="177"/>
      <c r="AC772" s="177"/>
      <c r="AD772" s="177"/>
      <c r="AE772" s="177"/>
    </row>
    <row r="773" spans="1:31" ht="13.5" thickBot="1">
      <c r="A773" s="202"/>
      <c r="B773" s="202"/>
      <c r="C773" s="202"/>
      <c r="D773" s="202"/>
      <c r="E773" s="202"/>
      <c r="F773" s="202"/>
      <c r="G773" s="202"/>
      <c r="H773" s="177"/>
      <c r="I773" s="177"/>
      <c r="J773" s="177"/>
      <c r="K773" s="177"/>
      <c r="L773" s="177"/>
      <c r="M773" s="177"/>
      <c r="N773" s="177"/>
      <c r="O773" s="177"/>
      <c r="P773" s="177"/>
      <c r="Q773" s="177"/>
      <c r="R773" s="177"/>
      <c r="S773" s="177"/>
      <c r="T773" s="177"/>
      <c r="U773" s="177"/>
      <c r="V773" s="177"/>
      <c r="W773" s="177"/>
      <c r="X773" s="177"/>
      <c r="Y773" s="177"/>
      <c r="Z773" s="177"/>
      <c r="AA773" s="177"/>
      <c r="AB773" s="177"/>
      <c r="AC773" s="177"/>
      <c r="AD773" s="177"/>
      <c r="AE773" s="177"/>
    </row>
    <row r="774" spans="1:31" ht="13.5" thickBot="1">
      <c r="A774" s="202"/>
      <c r="B774" s="202"/>
      <c r="C774" s="202"/>
      <c r="D774" s="202"/>
      <c r="E774" s="202"/>
      <c r="F774" s="202"/>
      <c r="G774" s="202"/>
      <c r="H774" s="177"/>
      <c r="I774" s="177"/>
      <c r="J774" s="177"/>
      <c r="K774" s="177"/>
      <c r="L774" s="177"/>
      <c r="M774" s="177"/>
      <c r="N774" s="177"/>
      <c r="O774" s="177"/>
      <c r="P774" s="177"/>
      <c r="Q774" s="177"/>
      <c r="R774" s="177"/>
      <c r="S774" s="177"/>
      <c r="T774" s="177"/>
      <c r="U774" s="177"/>
      <c r="V774" s="177"/>
      <c r="W774" s="177"/>
      <c r="X774" s="177"/>
      <c r="Y774" s="177"/>
      <c r="Z774" s="177"/>
      <c r="AA774" s="177"/>
      <c r="AB774" s="177"/>
      <c r="AC774" s="177"/>
      <c r="AD774" s="177"/>
      <c r="AE774" s="177"/>
    </row>
    <row r="775" spans="1:31" ht="13.5" thickBot="1">
      <c r="A775" s="202"/>
      <c r="B775" s="202"/>
      <c r="C775" s="202"/>
      <c r="D775" s="202"/>
      <c r="E775" s="202"/>
      <c r="F775" s="202"/>
      <c r="G775" s="202"/>
      <c r="H775" s="177"/>
      <c r="I775" s="177"/>
      <c r="J775" s="177"/>
      <c r="K775" s="177"/>
      <c r="L775" s="177"/>
      <c r="M775" s="177"/>
      <c r="N775" s="177"/>
      <c r="O775" s="177"/>
      <c r="P775" s="177"/>
      <c r="Q775" s="177"/>
      <c r="R775" s="177"/>
      <c r="S775" s="177"/>
      <c r="T775" s="177"/>
      <c r="U775" s="177"/>
      <c r="V775" s="177"/>
      <c r="W775" s="177"/>
      <c r="X775" s="177"/>
      <c r="Y775" s="177"/>
      <c r="Z775" s="177"/>
      <c r="AA775" s="177"/>
      <c r="AB775" s="177"/>
      <c r="AC775" s="177"/>
      <c r="AD775" s="177"/>
      <c r="AE775" s="177"/>
    </row>
    <row r="776" spans="1:31" ht="13.5" thickBot="1">
      <c r="A776" s="202"/>
      <c r="B776" s="202"/>
      <c r="C776" s="202"/>
      <c r="D776" s="202"/>
      <c r="E776" s="202"/>
      <c r="F776" s="202"/>
      <c r="G776" s="202"/>
      <c r="H776" s="177"/>
      <c r="I776" s="177"/>
      <c r="J776" s="177"/>
      <c r="K776" s="177"/>
      <c r="L776" s="177"/>
      <c r="M776" s="177"/>
      <c r="N776" s="177"/>
      <c r="O776" s="177"/>
      <c r="P776" s="177"/>
      <c r="Q776" s="177"/>
      <c r="R776" s="177"/>
      <c r="S776" s="177"/>
      <c r="T776" s="177"/>
      <c r="U776" s="177"/>
      <c r="V776" s="177"/>
      <c r="W776" s="177"/>
      <c r="X776" s="177"/>
      <c r="Y776" s="177"/>
      <c r="Z776" s="177"/>
      <c r="AA776" s="177"/>
      <c r="AB776" s="177"/>
      <c r="AC776" s="177"/>
      <c r="AD776" s="177"/>
      <c r="AE776" s="177"/>
    </row>
    <row r="777" spans="1:31" ht="13.5" thickBot="1">
      <c r="A777" s="202"/>
      <c r="B777" s="202"/>
      <c r="C777" s="202"/>
      <c r="D777" s="202"/>
      <c r="E777" s="202"/>
      <c r="F777" s="202"/>
      <c r="G777" s="202"/>
      <c r="H777" s="177"/>
      <c r="I777" s="177"/>
      <c r="J777" s="177"/>
      <c r="K777" s="177"/>
      <c r="L777" s="177"/>
      <c r="M777" s="177"/>
      <c r="N777" s="177"/>
      <c r="O777" s="177"/>
      <c r="P777" s="177"/>
      <c r="Q777" s="177"/>
      <c r="R777" s="177"/>
      <c r="S777" s="177"/>
      <c r="T777" s="177"/>
      <c r="U777" s="177"/>
      <c r="V777" s="177"/>
      <c r="W777" s="177"/>
      <c r="X777" s="177"/>
      <c r="Y777" s="177"/>
      <c r="Z777" s="177"/>
      <c r="AA777" s="177"/>
      <c r="AB777" s="177"/>
      <c r="AC777" s="177"/>
      <c r="AD777" s="177"/>
      <c r="AE777" s="177"/>
    </row>
    <row r="778" spans="1:31" ht="13.5" thickBot="1">
      <c r="A778" s="202"/>
      <c r="B778" s="202"/>
      <c r="C778" s="202"/>
      <c r="D778" s="202"/>
      <c r="E778" s="202"/>
      <c r="F778" s="202"/>
      <c r="G778" s="202"/>
      <c r="H778" s="177"/>
      <c r="I778" s="177"/>
      <c r="J778" s="177"/>
      <c r="K778" s="177"/>
      <c r="L778" s="177"/>
      <c r="M778" s="177"/>
      <c r="N778" s="177"/>
      <c r="O778" s="177"/>
      <c r="P778" s="177"/>
      <c r="Q778" s="177"/>
      <c r="R778" s="177"/>
      <c r="S778" s="177"/>
      <c r="T778" s="177"/>
      <c r="U778" s="177"/>
      <c r="V778" s="177"/>
      <c r="W778" s="177"/>
      <c r="X778" s="177"/>
      <c r="Y778" s="177"/>
      <c r="Z778" s="177"/>
      <c r="AA778" s="177"/>
      <c r="AB778" s="177"/>
      <c r="AC778" s="177"/>
      <c r="AD778" s="177"/>
      <c r="AE778" s="177"/>
    </row>
    <row r="779" spans="1:31" ht="13.5" thickBot="1">
      <c r="A779" s="202"/>
      <c r="B779" s="202"/>
      <c r="C779" s="202"/>
      <c r="D779" s="202"/>
      <c r="E779" s="202"/>
      <c r="F779" s="202"/>
      <c r="G779" s="202"/>
      <c r="H779" s="177"/>
      <c r="I779" s="177"/>
      <c r="J779" s="177"/>
      <c r="K779" s="177"/>
      <c r="L779" s="177"/>
      <c r="M779" s="177"/>
      <c r="N779" s="177"/>
      <c r="O779" s="177"/>
      <c r="P779" s="177"/>
      <c r="Q779" s="177"/>
      <c r="R779" s="177"/>
      <c r="S779" s="177"/>
      <c r="T779" s="177"/>
      <c r="U779" s="177"/>
      <c r="V779" s="177"/>
      <c r="W779" s="177"/>
      <c r="X779" s="177"/>
      <c r="Y779" s="177"/>
      <c r="Z779" s="177"/>
      <c r="AA779" s="177"/>
      <c r="AB779" s="177"/>
      <c r="AC779" s="177"/>
      <c r="AD779" s="177"/>
      <c r="AE779" s="177"/>
    </row>
    <row r="780" spans="1:31" ht="13.5" thickBot="1">
      <c r="A780" s="202"/>
      <c r="B780" s="202"/>
      <c r="C780" s="202"/>
      <c r="D780" s="202"/>
      <c r="E780" s="202"/>
      <c r="F780" s="202"/>
      <c r="G780" s="202"/>
      <c r="H780" s="177"/>
      <c r="I780" s="177"/>
      <c r="J780" s="177"/>
      <c r="K780" s="177"/>
      <c r="L780" s="177"/>
      <c r="M780" s="177"/>
      <c r="N780" s="177"/>
      <c r="O780" s="177"/>
      <c r="P780" s="177"/>
      <c r="Q780" s="177"/>
      <c r="R780" s="177"/>
      <c r="S780" s="177"/>
      <c r="T780" s="177"/>
      <c r="U780" s="177"/>
      <c r="V780" s="177"/>
      <c r="W780" s="177"/>
      <c r="X780" s="177"/>
      <c r="Y780" s="177"/>
      <c r="Z780" s="177"/>
      <c r="AA780" s="177"/>
      <c r="AB780" s="177"/>
      <c r="AC780" s="177"/>
      <c r="AD780" s="177"/>
      <c r="AE780" s="177"/>
    </row>
    <row r="781" spans="1:31" ht="13.5" thickBot="1">
      <c r="A781" s="202"/>
      <c r="B781" s="202"/>
      <c r="C781" s="202"/>
      <c r="D781" s="202"/>
      <c r="E781" s="202"/>
      <c r="F781" s="202"/>
      <c r="G781" s="202"/>
      <c r="H781" s="177"/>
      <c r="I781" s="177"/>
      <c r="J781" s="177"/>
      <c r="K781" s="177"/>
      <c r="L781" s="177"/>
      <c r="M781" s="177"/>
      <c r="N781" s="177"/>
      <c r="O781" s="177"/>
      <c r="P781" s="177"/>
      <c r="Q781" s="177"/>
      <c r="R781" s="177"/>
      <c r="S781" s="177"/>
      <c r="T781" s="177"/>
      <c r="U781" s="177"/>
      <c r="V781" s="177"/>
      <c r="W781" s="177"/>
      <c r="X781" s="177"/>
      <c r="Y781" s="177"/>
      <c r="Z781" s="177"/>
      <c r="AA781" s="177"/>
      <c r="AB781" s="177"/>
      <c r="AC781" s="177"/>
      <c r="AD781" s="177"/>
      <c r="AE781" s="177"/>
    </row>
    <row r="782" spans="1:31" ht="13.5" thickBot="1">
      <c r="A782" s="202"/>
      <c r="B782" s="202"/>
      <c r="C782" s="202"/>
      <c r="D782" s="202"/>
      <c r="E782" s="202"/>
      <c r="F782" s="202"/>
      <c r="G782" s="202"/>
      <c r="H782" s="177"/>
      <c r="I782" s="177"/>
      <c r="J782" s="177"/>
      <c r="K782" s="177"/>
      <c r="L782" s="177"/>
      <c r="M782" s="177"/>
      <c r="N782" s="177"/>
      <c r="O782" s="177"/>
      <c r="P782" s="177"/>
      <c r="Q782" s="177"/>
      <c r="R782" s="177"/>
      <c r="S782" s="177"/>
      <c r="T782" s="177"/>
      <c r="U782" s="177"/>
      <c r="V782" s="177"/>
      <c r="W782" s="177"/>
      <c r="X782" s="177"/>
      <c r="Y782" s="177"/>
      <c r="Z782" s="177"/>
      <c r="AA782" s="177"/>
      <c r="AB782" s="177"/>
      <c r="AC782" s="177"/>
      <c r="AD782" s="177"/>
      <c r="AE782" s="177"/>
    </row>
    <row r="783" spans="1:31" ht="13.5" thickBot="1">
      <c r="A783" s="202"/>
      <c r="B783" s="202"/>
      <c r="C783" s="202"/>
      <c r="D783" s="202"/>
      <c r="E783" s="202"/>
      <c r="F783" s="202"/>
      <c r="G783" s="202"/>
      <c r="H783" s="177"/>
      <c r="I783" s="177"/>
      <c r="J783" s="177"/>
      <c r="K783" s="177"/>
      <c r="L783" s="177"/>
      <c r="M783" s="177"/>
      <c r="N783" s="177"/>
      <c r="O783" s="177"/>
      <c r="P783" s="177"/>
      <c r="Q783" s="177"/>
      <c r="R783" s="177"/>
      <c r="S783" s="177"/>
      <c r="T783" s="177"/>
      <c r="U783" s="177"/>
      <c r="V783" s="177"/>
      <c r="W783" s="177"/>
      <c r="X783" s="177"/>
      <c r="Y783" s="177"/>
      <c r="Z783" s="177"/>
      <c r="AA783" s="177"/>
      <c r="AB783" s="177"/>
      <c r="AC783" s="177"/>
      <c r="AD783" s="177"/>
      <c r="AE783" s="177"/>
    </row>
    <row r="784" spans="1:31" ht="13.5" thickBot="1">
      <c r="A784" s="202"/>
      <c r="B784" s="202"/>
      <c r="C784" s="202"/>
      <c r="D784" s="202"/>
      <c r="E784" s="202"/>
      <c r="F784" s="202"/>
      <c r="G784" s="202"/>
      <c r="H784" s="177"/>
      <c r="I784" s="177"/>
      <c r="J784" s="177"/>
      <c r="K784" s="177"/>
      <c r="L784" s="177"/>
      <c r="M784" s="177"/>
      <c r="N784" s="177"/>
      <c r="O784" s="177"/>
      <c r="P784" s="177"/>
      <c r="Q784" s="177"/>
      <c r="R784" s="177"/>
      <c r="S784" s="177"/>
      <c r="T784" s="177"/>
      <c r="U784" s="177"/>
      <c r="V784" s="177"/>
      <c r="W784" s="177"/>
      <c r="X784" s="177"/>
      <c r="Y784" s="177"/>
      <c r="Z784" s="177"/>
      <c r="AA784" s="177"/>
      <c r="AB784" s="177"/>
      <c r="AC784" s="177"/>
      <c r="AD784" s="177"/>
      <c r="AE784" s="177"/>
    </row>
    <row r="785" spans="1:31" ht="13.5" thickBot="1">
      <c r="A785" s="202"/>
      <c r="B785" s="202"/>
      <c r="C785" s="202"/>
      <c r="D785" s="202"/>
      <c r="E785" s="202"/>
      <c r="F785" s="202"/>
      <c r="G785" s="202"/>
      <c r="H785" s="177"/>
      <c r="I785" s="177"/>
      <c r="J785" s="177"/>
      <c r="K785" s="177"/>
      <c r="L785" s="177"/>
      <c r="M785" s="177"/>
      <c r="N785" s="177"/>
      <c r="O785" s="177"/>
      <c r="P785" s="177"/>
      <c r="Q785" s="177"/>
      <c r="R785" s="177"/>
      <c r="S785" s="177"/>
      <c r="T785" s="177"/>
      <c r="U785" s="177"/>
      <c r="V785" s="177"/>
      <c r="W785" s="177"/>
      <c r="X785" s="177"/>
      <c r="Y785" s="177"/>
      <c r="Z785" s="177"/>
      <c r="AA785" s="177"/>
      <c r="AB785" s="177"/>
      <c r="AC785" s="177"/>
      <c r="AD785" s="177"/>
      <c r="AE785" s="177"/>
    </row>
    <row r="786" spans="1:31" ht="13.5" thickBot="1">
      <c r="A786" s="202"/>
      <c r="B786" s="202"/>
      <c r="C786" s="202"/>
      <c r="D786" s="202"/>
      <c r="E786" s="202"/>
      <c r="F786" s="202"/>
      <c r="G786" s="202"/>
      <c r="H786" s="177"/>
      <c r="I786" s="177"/>
      <c r="J786" s="177"/>
      <c r="K786" s="177"/>
      <c r="L786" s="177"/>
      <c r="M786" s="177"/>
      <c r="N786" s="177"/>
      <c r="O786" s="177"/>
      <c r="P786" s="177"/>
      <c r="Q786" s="177"/>
      <c r="R786" s="177"/>
      <c r="S786" s="177"/>
      <c r="T786" s="177"/>
      <c r="U786" s="177"/>
      <c r="V786" s="177"/>
      <c r="W786" s="177"/>
      <c r="X786" s="177"/>
      <c r="Y786" s="177"/>
      <c r="Z786" s="177"/>
      <c r="AA786" s="177"/>
      <c r="AB786" s="177"/>
      <c r="AC786" s="177"/>
      <c r="AD786" s="177"/>
      <c r="AE786" s="177"/>
    </row>
    <row r="787" spans="1:31" ht="13.5" thickBot="1">
      <c r="A787" s="202"/>
      <c r="B787" s="202"/>
      <c r="C787" s="202"/>
      <c r="D787" s="202"/>
      <c r="E787" s="202"/>
      <c r="F787" s="202"/>
      <c r="G787" s="202"/>
      <c r="H787" s="177"/>
      <c r="I787" s="177"/>
      <c r="J787" s="177"/>
      <c r="K787" s="177"/>
      <c r="L787" s="177"/>
      <c r="M787" s="177"/>
      <c r="N787" s="177"/>
      <c r="O787" s="177"/>
      <c r="P787" s="177"/>
      <c r="Q787" s="177"/>
      <c r="R787" s="177"/>
      <c r="S787" s="177"/>
      <c r="T787" s="177"/>
      <c r="U787" s="177"/>
      <c r="V787" s="177"/>
      <c r="W787" s="177"/>
      <c r="X787" s="177"/>
      <c r="Y787" s="177"/>
      <c r="Z787" s="177"/>
      <c r="AA787" s="177"/>
      <c r="AB787" s="177"/>
      <c r="AC787" s="177"/>
      <c r="AD787" s="177"/>
      <c r="AE787" s="177"/>
    </row>
    <row r="788" spans="1:31" ht="13.5" thickBot="1">
      <c r="A788" s="202"/>
      <c r="B788" s="202"/>
      <c r="C788" s="202"/>
      <c r="D788" s="202"/>
      <c r="E788" s="202"/>
      <c r="F788" s="202"/>
      <c r="G788" s="202"/>
      <c r="H788" s="177"/>
      <c r="I788" s="177"/>
      <c r="J788" s="177"/>
      <c r="K788" s="177"/>
      <c r="L788" s="177"/>
      <c r="M788" s="177"/>
      <c r="N788" s="177"/>
      <c r="O788" s="177"/>
      <c r="P788" s="177"/>
      <c r="Q788" s="177"/>
      <c r="R788" s="177"/>
      <c r="S788" s="177"/>
      <c r="T788" s="177"/>
      <c r="U788" s="177"/>
      <c r="V788" s="177"/>
      <c r="W788" s="177"/>
      <c r="X788" s="177"/>
      <c r="Y788" s="177"/>
      <c r="Z788" s="177"/>
      <c r="AA788" s="177"/>
      <c r="AB788" s="177"/>
      <c r="AC788" s="177"/>
      <c r="AD788" s="177"/>
      <c r="AE788" s="177"/>
    </row>
    <row r="789" spans="1:31" ht="13.5" thickBot="1">
      <c r="A789" s="202"/>
      <c r="B789" s="202"/>
      <c r="C789" s="202"/>
      <c r="D789" s="202"/>
      <c r="E789" s="202"/>
      <c r="F789" s="202"/>
      <c r="G789" s="202"/>
      <c r="H789" s="177"/>
      <c r="I789" s="177"/>
      <c r="J789" s="177"/>
      <c r="K789" s="177"/>
      <c r="L789" s="177"/>
      <c r="M789" s="177"/>
      <c r="N789" s="177"/>
      <c r="O789" s="177"/>
      <c r="P789" s="177"/>
      <c r="Q789" s="177"/>
      <c r="R789" s="177"/>
      <c r="S789" s="177"/>
      <c r="T789" s="177"/>
      <c r="U789" s="177"/>
      <c r="V789" s="177"/>
      <c r="W789" s="177"/>
      <c r="X789" s="177"/>
      <c r="Y789" s="177"/>
      <c r="Z789" s="177"/>
      <c r="AA789" s="177"/>
      <c r="AB789" s="177"/>
      <c r="AC789" s="177"/>
      <c r="AD789" s="177"/>
      <c r="AE789" s="177"/>
    </row>
    <row r="790" spans="1:31" ht="13.5" thickBot="1">
      <c r="A790" s="202"/>
      <c r="B790" s="202"/>
      <c r="C790" s="202"/>
      <c r="D790" s="202"/>
      <c r="E790" s="202"/>
      <c r="F790" s="202"/>
      <c r="G790" s="202"/>
      <c r="H790" s="177"/>
      <c r="I790" s="177"/>
      <c r="J790" s="177"/>
      <c r="K790" s="177"/>
      <c r="L790" s="177"/>
      <c r="M790" s="177"/>
      <c r="N790" s="177"/>
      <c r="O790" s="177"/>
      <c r="P790" s="177"/>
      <c r="Q790" s="177"/>
      <c r="R790" s="177"/>
      <c r="S790" s="177"/>
      <c r="T790" s="177"/>
      <c r="U790" s="177"/>
      <c r="V790" s="177"/>
      <c r="W790" s="177"/>
      <c r="X790" s="177"/>
      <c r="Y790" s="177"/>
      <c r="Z790" s="177"/>
      <c r="AA790" s="177"/>
      <c r="AB790" s="177"/>
      <c r="AC790" s="177"/>
      <c r="AD790" s="177"/>
      <c r="AE790" s="177"/>
    </row>
    <row r="791" spans="1:31" ht="13.5" thickBot="1">
      <c r="A791" s="202"/>
      <c r="B791" s="202"/>
      <c r="C791" s="202"/>
      <c r="D791" s="202"/>
      <c r="E791" s="202"/>
      <c r="F791" s="202"/>
      <c r="G791" s="202"/>
      <c r="H791" s="177"/>
      <c r="I791" s="177"/>
      <c r="J791" s="177"/>
      <c r="K791" s="177"/>
      <c r="L791" s="177"/>
      <c r="M791" s="177"/>
      <c r="N791" s="177"/>
      <c r="O791" s="177"/>
      <c r="P791" s="177"/>
      <c r="Q791" s="177"/>
      <c r="R791" s="177"/>
      <c r="S791" s="177"/>
      <c r="T791" s="177"/>
      <c r="U791" s="177"/>
      <c r="V791" s="177"/>
      <c r="W791" s="177"/>
      <c r="X791" s="177"/>
      <c r="Y791" s="177"/>
      <c r="Z791" s="177"/>
      <c r="AA791" s="177"/>
      <c r="AB791" s="177"/>
      <c r="AC791" s="177"/>
      <c r="AD791" s="177"/>
      <c r="AE791" s="177"/>
    </row>
    <row r="792" spans="1:31" ht="13.5" thickBot="1">
      <c r="A792" s="202"/>
      <c r="B792" s="202"/>
      <c r="C792" s="202"/>
      <c r="D792" s="202"/>
      <c r="E792" s="202"/>
      <c r="F792" s="202"/>
      <c r="G792" s="202"/>
      <c r="H792" s="177"/>
      <c r="I792" s="177"/>
      <c r="J792" s="177"/>
      <c r="K792" s="177"/>
      <c r="L792" s="177"/>
      <c r="M792" s="177"/>
      <c r="N792" s="177"/>
      <c r="O792" s="177"/>
      <c r="P792" s="177"/>
      <c r="Q792" s="177"/>
      <c r="R792" s="177"/>
      <c r="S792" s="177"/>
      <c r="T792" s="177"/>
      <c r="U792" s="177"/>
      <c r="V792" s="177"/>
      <c r="W792" s="177"/>
      <c r="X792" s="177"/>
      <c r="Y792" s="177"/>
      <c r="Z792" s="177"/>
      <c r="AA792" s="177"/>
      <c r="AB792" s="177"/>
      <c r="AC792" s="177"/>
      <c r="AD792" s="177"/>
      <c r="AE792" s="177"/>
    </row>
    <row r="793" spans="1:31" ht="13.5" thickBot="1">
      <c r="A793" s="202"/>
      <c r="B793" s="202"/>
      <c r="C793" s="202"/>
      <c r="D793" s="202"/>
      <c r="E793" s="202"/>
      <c r="F793" s="202"/>
      <c r="G793" s="202"/>
      <c r="H793" s="177"/>
      <c r="I793" s="177"/>
      <c r="J793" s="177"/>
      <c r="K793" s="177"/>
      <c r="L793" s="177"/>
      <c r="M793" s="177"/>
      <c r="N793" s="177"/>
      <c r="O793" s="177"/>
      <c r="P793" s="177"/>
      <c r="Q793" s="177"/>
      <c r="R793" s="177"/>
      <c r="S793" s="177"/>
      <c r="T793" s="177"/>
      <c r="U793" s="177"/>
      <c r="V793" s="177"/>
      <c r="W793" s="177"/>
      <c r="X793" s="177"/>
      <c r="Y793" s="177"/>
      <c r="Z793" s="177"/>
      <c r="AA793" s="177"/>
      <c r="AB793" s="177"/>
      <c r="AC793" s="177"/>
      <c r="AD793" s="177"/>
      <c r="AE793" s="177"/>
    </row>
    <row r="794" spans="1:31" ht="13.5" thickBot="1">
      <c r="A794" s="202"/>
      <c r="B794" s="202"/>
      <c r="C794" s="202"/>
      <c r="D794" s="202"/>
      <c r="E794" s="202"/>
      <c r="F794" s="202"/>
      <c r="G794" s="202"/>
      <c r="H794" s="177"/>
      <c r="I794" s="177"/>
      <c r="J794" s="177"/>
      <c r="K794" s="177"/>
      <c r="L794" s="177"/>
      <c r="M794" s="177"/>
      <c r="N794" s="177"/>
      <c r="O794" s="177"/>
      <c r="P794" s="177"/>
      <c r="Q794" s="177"/>
      <c r="R794" s="177"/>
      <c r="S794" s="177"/>
      <c r="T794" s="177"/>
      <c r="U794" s="177"/>
      <c r="V794" s="177"/>
      <c r="W794" s="177"/>
      <c r="X794" s="177"/>
      <c r="Y794" s="177"/>
      <c r="Z794" s="177"/>
      <c r="AA794" s="177"/>
      <c r="AB794" s="177"/>
      <c r="AC794" s="177"/>
      <c r="AD794" s="177"/>
      <c r="AE794" s="177"/>
    </row>
    <row r="795" spans="1:31" ht="13.5" thickBot="1">
      <c r="A795" s="202"/>
      <c r="B795" s="202"/>
      <c r="C795" s="202"/>
      <c r="D795" s="202"/>
      <c r="E795" s="202"/>
      <c r="F795" s="202"/>
      <c r="G795" s="202"/>
      <c r="H795" s="177"/>
      <c r="I795" s="177"/>
      <c r="J795" s="177"/>
      <c r="K795" s="177"/>
      <c r="L795" s="177"/>
      <c r="M795" s="177"/>
      <c r="N795" s="177"/>
      <c r="O795" s="177"/>
      <c r="P795" s="177"/>
      <c r="Q795" s="177"/>
      <c r="R795" s="177"/>
      <c r="S795" s="177"/>
      <c r="T795" s="177"/>
      <c r="U795" s="177"/>
      <c r="V795" s="177"/>
      <c r="W795" s="177"/>
      <c r="X795" s="177"/>
      <c r="Y795" s="177"/>
      <c r="Z795" s="177"/>
      <c r="AA795" s="177"/>
      <c r="AB795" s="177"/>
      <c r="AC795" s="177"/>
      <c r="AD795" s="177"/>
      <c r="AE795" s="177"/>
    </row>
    <row r="796" spans="1:31" ht="13.5" thickBot="1">
      <c r="A796" s="202"/>
      <c r="B796" s="202"/>
      <c r="C796" s="202"/>
      <c r="D796" s="202"/>
      <c r="E796" s="202"/>
      <c r="F796" s="202"/>
      <c r="G796" s="202"/>
      <c r="H796" s="177"/>
      <c r="I796" s="177"/>
      <c r="J796" s="177"/>
      <c r="K796" s="177"/>
      <c r="L796" s="177"/>
      <c r="M796" s="177"/>
      <c r="N796" s="177"/>
      <c r="O796" s="177"/>
      <c r="P796" s="177"/>
      <c r="Q796" s="177"/>
      <c r="R796" s="177"/>
      <c r="S796" s="177"/>
      <c r="T796" s="177"/>
      <c r="U796" s="177"/>
      <c r="V796" s="177"/>
      <c r="W796" s="177"/>
      <c r="X796" s="177"/>
      <c r="Y796" s="177"/>
      <c r="Z796" s="177"/>
      <c r="AA796" s="177"/>
      <c r="AB796" s="177"/>
      <c r="AC796" s="177"/>
      <c r="AD796" s="177"/>
      <c r="AE796" s="177"/>
    </row>
    <row r="797" spans="1:31" ht="13.5" thickBot="1">
      <c r="A797" s="202"/>
      <c r="B797" s="202"/>
      <c r="C797" s="202"/>
      <c r="D797" s="202"/>
      <c r="E797" s="202"/>
      <c r="F797" s="202"/>
      <c r="G797" s="202"/>
      <c r="H797" s="177"/>
      <c r="I797" s="177"/>
      <c r="J797" s="177"/>
      <c r="K797" s="177"/>
      <c r="L797" s="177"/>
      <c r="M797" s="177"/>
      <c r="N797" s="177"/>
      <c r="O797" s="177"/>
      <c r="P797" s="177"/>
      <c r="Q797" s="177"/>
      <c r="R797" s="177"/>
      <c r="S797" s="177"/>
      <c r="T797" s="177"/>
      <c r="U797" s="177"/>
      <c r="V797" s="177"/>
      <c r="W797" s="177"/>
      <c r="X797" s="177"/>
      <c r="Y797" s="177"/>
      <c r="Z797" s="177"/>
      <c r="AA797" s="177"/>
      <c r="AB797" s="177"/>
      <c r="AC797" s="177"/>
      <c r="AD797" s="177"/>
      <c r="AE797" s="177"/>
    </row>
    <row r="798" spans="1:31" ht="13.5" thickBot="1">
      <c r="A798" s="202"/>
      <c r="B798" s="202"/>
      <c r="C798" s="202"/>
      <c r="D798" s="202"/>
      <c r="E798" s="202"/>
      <c r="F798" s="202"/>
      <c r="G798" s="202"/>
      <c r="H798" s="177"/>
      <c r="I798" s="177"/>
      <c r="J798" s="177"/>
      <c r="K798" s="177"/>
      <c r="L798" s="177"/>
      <c r="M798" s="177"/>
      <c r="N798" s="177"/>
      <c r="O798" s="177"/>
      <c r="P798" s="177"/>
      <c r="Q798" s="177"/>
      <c r="R798" s="177"/>
      <c r="S798" s="177"/>
      <c r="T798" s="177"/>
      <c r="U798" s="177"/>
      <c r="V798" s="177"/>
      <c r="W798" s="177"/>
      <c r="X798" s="177"/>
      <c r="Y798" s="177"/>
      <c r="Z798" s="177"/>
      <c r="AA798" s="177"/>
      <c r="AB798" s="177"/>
      <c r="AC798" s="177"/>
      <c r="AD798" s="177"/>
      <c r="AE798" s="177"/>
    </row>
    <row r="799" spans="1:31" ht="13.5" thickBot="1">
      <c r="A799" s="202"/>
      <c r="B799" s="202"/>
      <c r="C799" s="202"/>
      <c r="D799" s="202"/>
      <c r="E799" s="202"/>
      <c r="F799" s="202"/>
      <c r="G799" s="202"/>
      <c r="H799" s="177"/>
      <c r="I799" s="177"/>
      <c r="J799" s="177"/>
      <c r="K799" s="177"/>
      <c r="L799" s="177"/>
      <c r="M799" s="177"/>
      <c r="N799" s="177"/>
      <c r="O799" s="177"/>
      <c r="P799" s="177"/>
      <c r="Q799" s="177"/>
      <c r="R799" s="177"/>
      <c r="S799" s="177"/>
      <c r="T799" s="177"/>
      <c r="U799" s="177"/>
      <c r="V799" s="177"/>
      <c r="W799" s="177"/>
      <c r="X799" s="177"/>
      <c r="Y799" s="177"/>
      <c r="Z799" s="177"/>
      <c r="AA799" s="177"/>
      <c r="AB799" s="177"/>
      <c r="AC799" s="177"/>
      <c r="AD799" s="177"/>
      <c r="AE799" s="177"/>
    </row>
    <row r="800" spans="1:31" ht="13.5" thickBot="1">
      <c r="A800" s="202"/>
      <c r="B800" s="202"/>
      <c r="C800" s="202"/>
      <c r="D800" s="202"/>
      <c r="E800" s="202"/>
      <c r="F800" s="202"/>
      <c r="G800" s="202"/>
      <c r="H800" s="177"/>
      <c r="I800" s="177"/>
      <c r="J800" s="177"/>
      <c r="K800" s="177"/>
      <c r="L800" s="177"/>
      <c r="M800" s="177"/>
      <c r="N800" s="177"/>
      <c r="O800" s="177"/>
      <c r="P800" s="177"/>
      <c r="Q800" s="177"/>
      <c r="R800" s="177"/>
      <c r="S800" s="177"/>
      <c r="T800" s="177"/>
      <c r="U800" s="177"/>
      <c r="V800" s="177"/>
      <c r="W800" s="177"/>
      <c r="X800" s="177"/>
      <c r="Y800" s="177"/>
      <c r="Z800" s="177"/>
      <c r="AA800" s="177"/>
      <c r="AB800" s="177"/>
      <c r="AC800" s="177"/>
      <c r="AD800" s="177"/>
      <c r="AE800" s="177"/>
    </row>
    <row r="801" spans="1:31" ht="13.5" thickBot="1">
      <c r="A801" s="202"/>
      <c r="B801" s="202"/>
      <c r="C801" s="202"/>
      <c r="D801" s="202"/>
      <c r="E801" s="202"/>
      <c r="F801" s="202"/>
      <c r="G801" s="202"/>
      <c r="H801" s="177"/>
      <c r="I801" s="177"/>
      <c r="J801" s="177"/>
      <c r="K801" s="177"/>
      <c r="L801" s="177"/>
      <c r="M801" s="177"/>
      <c r="N801" s="177"/>
      <c r="O801" s="177"/>
      <c r="P801" s="177"/>
      <c r="Q801" s="177"/>
      <c r="R801" s="177"/>
      <c r="S801" s="177"/>
      <c r="T801" s="177"/>
      <c r="U801" s="177"/>
      <c r="V801" s="177"/>
      <c r="W801" s="177"/>
      <c r="X801" s="177"/>
      <c r="Y801" s="177"/>
      <c r="Z801" s="177"/>
      <c r="AA801" s="177"/>
      <c r="AB801" s="177"/>
      <c r="AC801" s="177"/>
      <c r="AD801" s="177"/>
      <c r="AE801" s="177"/>
    </row>
    <row r="802" spans="1:31" ht="13.5" thickBot="1">
      <c r="A802" s="202"/>
      <c r="B802" s="202"/>
      <c r="C802" s="202"/>
      <c r="D802" s="202"/>
      <c r="E802" s="202"/>
      <c r="F802" s="202"/>
      <c r="G802" s="202"/>
      <c r="H802" s="177"/>
      <c r="I802" s="177"/>
      <c r="J802" s="177"/>
      <c r="K802" s="177"/>
      <c r="L802" s="177"/>
      <c r="M802" s="177"/>
      <c r="N802" s="177"/>
      <c r="O802" s="177"/>
      <c r="P802" s="177"/>
      <c r="Q802" s="177"/>
      <c r="R802" s="177"/>
      <c r="S802" s="177"/>
      <c r="T802" s="177"/>
      <c r="U802" s="177"/>
      <c r="V802" s="177"/>
      <c r="W802" s="177"/>
      <c r="X802" s="177"/>
      <c r="Y802" s="177"/>
      <c r="Z802" s="177"/>
      <c r="AA802" s="177"/>
      <c r="AB802" s="177"/>
      <c r="AC802" s="177"/>
      <c r="AD802" s="177"/>
      <c r="AE802" s="177"/>
    </row>
    <row r="803" spans="1:31" ht="13.5" thickBot="1">
      <c r="A803" s="202"/>
      <c r="B803" s="202"/>
      <c r="C803" s="202"/>
      <c r="D803" s="202"/>
      <c r="E803" s="202"/>
      <c r="F803" s="202"/>
      <c r="G803" s="202"/>
      <c r="H803" s="177"/>
      <c r="I803" s="177"/>
      <c r="J803" s="177"/>
      <c r="K803" s="177"/>
      <c r="L803" s="177"/>
      <c r="M803" s="177"/>
      <c r="N803" s="177"/>
      <c r="O803" s="177"/>
      <c r="P803" s="177"/>
      <c r="Q803" s="177"/>
      <c r="R803" s="177"/>
      <c r="S803" s="177"/>
      <c r="T803" s="177"/>
      <c r="U803" s="177"/>
      <c r="V803" s="177"/>
      <c r="W803" s="177"/>
      <c r="X803" s="177"/>
      <c r="Y803" s="177"/>
      <c r="Z803" s="177"/>
      <c r="AA803" s="177"/>
      <c r="AB803" s="177"/>
      <c r="AC803" s="177"/>
      <c r="AD803" s="177"/>
      <c r="AE803" s="177"/>
    </row>
    <row r="804" spans="1:31" ht="13.5" thickBot="1">
      <c r="A804" s="202"/>
      <c r="B804" s="202"/>
      <c r="C804" s="202"/>
      <c r="D804" s="202"/>
      <c r="E804" s="202"/>
      <c r="F804" s="202"/>
      <c r="G804" s="202"/>
      <c r="H804" s="177"/>
      <c r="I804" s="177"/>
      <c r="J804" s="177"/>
      <c r="K804" s="177"/>
      <c r="L804" s="177"/>
      <c r="M804" s="177"/>
      <c r="N804" s="177"/>
      <c r="O804" s="177"/>
      <c r="P804" s="177"/>
      <c r="Q804" s="177"/>
      <c r="R804" s="177"/>
      <c r="S804" s="177"/>
      <c r="T804" s="177"/>
      <c r="U804" s="177"/>
      <c r="V804" s="177"/>
      <c r="W804" s="177"/>
      <c r="X804" s="177"/>
      <c r="Y804" s="177"/>
      <c r="Z804" s="177"/>
      <c r="AA804" s="177"/>
      <c r="AB804" s="177"/>
      <c r="AC804" s="177"/>
      <c r="AD804" s="177"/>
      <c r="AE804" s="177"/>
    </row>
    <row r="805" spans="1:31" ht="13.5" thickBot="1">
      <c r="A805" s="202"/>
      <c r="B805" s="202"/>
      <c r="C805" s="202"/>
      <c r="D805" s="202"/>
      <c r="E805" s="202"/>
      <c r="F805" s="202"/>
      <c r="G805" s="202"/>
      <c r="H805" s="177"/>
      <c r="I805" s="177"/>
      <c r="J805" s="177"/>
      <c r="K805" s="177"/>
      <c r="L805" s="177"/>
      <c r="M805" s="177"/>
      <c r="N805" s="177"/>
      <c r="O805" s="177"/>
      <c r="P805" s="177"/>
      <c r="Q805" s="177"/>
      <c r="R805" s="177"/>
      <c r="S805" s="177"/>
      <c r="T805" s="177"/>
      <c r="U805" s="177"/>
      <c r="V805" s="177"/>
      <c r="W805" s="177"/>
      <c r="X805" s="177"/>
      <c r="Y805" s="177"/>
      <c r="Z805" s="177"/>
      <c r="AA805" s="177"/>
      <c r="AB805" s="177"/>
      <c r="AC805" s="177"/>
      <c r="AD805" s="177"/>
      <c r="AE805" s="177"/>
    </row>
    <row r="806" spans="1:31" ht="13.5" thickBot="1">
      <c r="A806" s="202"/>
      <c r="B806" s="202"/>
      <c r="C806" s="202"/>
      <c r="D806" s="202"/>
      <c r="E806" s="202"/>
      <c r="F806" s="202"/>
      <c r="G806" s="202"/>
      <c r="H806" s="177"/>
      <c r="I806" s="177"/>
      <c r="J806" s="177"/>
      <c r="K806" s="177"/>
      <c r="L806" s="177"/>
      <c r="M806" s="177"/>
      <c r="N806" s="177"/>
      <c r="O806" s="177"/>
      <c r="P806" s="177"/>
      <c r="Q806" s="177"/>
      <c r="R806" s="177"/>
      <c r="S806" s="177"/>
      <c r="T806" s="177"/>
      <c r="U806" s="177"/>
      <c r="V806" s="177"/>
      <c r="W806" s="177"/>
      <c r="X806" s="177"/>
      <c r="Y806" s="177"/>
      <c r="Z806" s="177"/>
      <c r="AA806" s="177"/>
      <c r="AB806" s="177"/>
      <c r="AC806" s="177"/>
      <c r="AD806" s="177"/>
      <c r="AE806" s="177"/>
    </row>
    <row r="807" spans="1:31" ht="13.5" thickBot="1">
      <c r="A807" s="202"/>
      <c r="B807" s="202"/>
      <c r="C807" s="202"/>
      <c r="D807" s="202"/>
      <c r="E807" s="202"/>
      <c r="F807" s="202"/>
      <c r="G807" s="202"/>
      <c r="H807" s="177"/>
      <c r="I807" s="177"/>
      <c r="J807" s="177"/>
      <c r="K807" s="177"/>
      <c r="L807" s="177"/>
      <c r="M807" s="177"/>
      <c r="N807" s="177"/>
      <c r="O807" s="177"/>
      <c r="P807" s="177"/>
      <c r="Q807" s="177"/>
      <c r="R807" s="177"/>
      <c r="S807" s="177"/>
      <c r="T807" s="177"/>
      <c r="U807" s="177"/>
      <c r="V807" s="177"/>
      <c r="W807" s="177"/>
      <c r="X807" s="177"/>
      <c r="Y807" s="177"/>
      <c r="Z807" s="177"/>
      <c r="AA807" s="177"/>
      <c r="AB807" s="177"/>
      <c r="AC807" s="177"/>
      <c r="AD807" s="177"/>
      <c r="AE807" s="177"/>
    </row>
    <row r="808" spans="1:31" ht="13.5" thickBot="1">
      <c r="A808" s="202"/>
      <c r="B808" s="202"/>
      <c r="C808" s="202"/>
      <c r="D808" s="202"/>
      <c r="E808" s="202"/>
      <c r="F808" s="202"/>
      <c r="G808" s="202"/>
      <c r="H808" s="177"/>
      <c r="I808" s="177"/>
      <c r="J808" s="177"/>
      <c r="K808" s="177"/>
      <c r="L808" s="177"/>
      <c r="M808" s="177"/>
      <c r="N808" s="177"/>
      <c r="O808" s="177"/>
      <c r="P808" s="177"/>
      <c r="Q808" s="177"/>
      <c r="R808" s="177"/>
      <c r="S808" s="177"/>
      <c r="T808" s="177"/>
      <c r="U808" s="177"/>
      <c r="V808" s="177"/>
      <c r="W808" s="177"/>
      <c r="X808" s="177"/>
      <c r="Y808" s="177"/>
      <c r="Z808" s="177"/>
      <c r="AA808" s="177"/>
      <c r="AB808" s="177"/>
      <c r="AC808" s="177"/>
      <c r="AD808" s="177"/>
      <c r="AE808" s="177"/>
    </row>
    <row r="809" spans="1:31" ht="13.5" thickBot="1">
      <c r="A809" s="202"/>
      <c r="B809" s="202"/>
      <c r="C809" s="202"/>
      <c r="D809" s="202"/>
      <c r="E809" s="202"/>
      <c r="F809" s="202"/>
      <c r="G809" s="202"/>
      <c r="H809" s="177"/>
      <c r="I809" s="177"/>
      <c r="J809" s="177"/>
      <c r="K809" s="177"/>
      <c r="L809" s="177"/>
      <c r="M809" s="177"/>
      <c r="N809" s="177"/>
      <c r="O809" s="177"/>
      <c r="P809" s="177"/>
      <c r="Q809" s="177"/>
      <c r="R809" s="177"/>
      <c r="S809" s="177"/>
      <c r="T809" s="177"/>
      <c r="U809" s="177"/>
      <c r="V809" s="177"/>
      <c r="W809" s="177"/>
      <c r="X809" s="177"/>
      <c r="Y809" s="177"/>
      <c r="Z809" s="177"/>
      <c r="AA809" s="177"/>
      <c r="AB809" s="177"/>
      <c r="AC809" s="177"/>
      <c r="AD809" s="177"/>
      <c r="AE809" s="177"/>
    </row>
    <row r="810" spans="1:31" ht="13.5" thickBot="1">
      <c r="A810" s="202"/>
      <c r="B810" s="202"/>
      <c r="C810" s="202"/>
      <c r="D810" s="202"/>
      <c r="E810" s="202"/>
      <c r="F810" s="202"/>
      <c r="G810" s="202"/>
      <c r="H810" s="177"/>
      <c r="I810" s="177"/>
      <c r="J810" s="177"/>
      <c r="K810" s="177"/>
      <c r="L810" s="177"/>
      <c r="M810" s="177"/>
      <c r="N810" s="177"/>
      <c r="O810" s="177"/>
      <c r="P810" s="177"/>
      <c r="Q810" s="177"/>
      <c r="R810" s="177"/>
      <c r="S810" s="177"/>
      <c r="T810" s="177"/>
      <c r="U810" s="177"/>
      <c r="V810" s="177"/>
      <c r="W810" s="177"/>
      <c r="X810" s="177"/>
      <c r="Y810" s="177"/>
      <c r="Z810" s="177"/>
      <c r="AA810" s="177"/>
      <c r="AB810" s="177"/>
      <c r="AC810" s="177"/>
      <c r="AD810" s="177"/>
      <c r="AE810" s="177"/>
    </row>
    <row r="811" spans="1:31" ht="13.5" thickBot="1">
      <c r="A811" s="202"/>
      <c r="B811" s="202"/>
      <c r="C811" s="202"/>
      <c r="D811" s="202"/>
      <c r="E811" s="202"/>
      <c r="F811" s="202"/>
      <c r="G811" s="202"/>
      <c r="H811" s="177"/>
      <c r="I811" s="177"/>
      <c r="J811" s="177"/>
      <c r="K811" s="177"/>
      <c r="L811" s="177"/>
      <c r="M811" s="177"/>
      <c r="N811" s="177"/>
      <c r="O811" s="177"/>
      <c r="P811" s="177"/>
      <c r="Q811" s="177"/>
      <c r="R811" s="177"/>
      <c r="S811" s="177"/>
      <c r="T811" s="177"/>
      <c r="U811" s="177"/>
      <c r="V811" s="177"/>
      <c r="W811" s="177"/>
      <c r="X811" s="177"/>
      <c r="Y811" s="177"/>
      <c r="Z811" s="177"/>
      <c r="AA811" s="177"/>
      <c r="AB811" s="177"/>
      <c r="AC811" s="177"/>
      <c r="AD811" s="177"/>
      <c r="AE811" s="177"/>
    </row>
    <row r="812" spans="1:31" ht="13.5" thickBot="1">
      <c r="A812" s="202"/>
      <c r="B812" s="202"/>
      <c r="C812" s="202"/>
      <c r="D812" s="202"/>
      <c r="E812" s="202"/>
      <c r="F812" s="202"/>
      <c r="G812" s="202"/>
      <c r="H812" s="177"/>
      <c r="I812" s="177"/>
      <c r="J812" s="177"/>
      <c r="K812" s="177"/>
      <c r="L812" s="177"/>
      <c r="M812" s="177"/>
      <c r="N812" s="177"/>
      <c r="O812" s="177"/>
      <c r="P812" s="177"/>
      <c r="Q812" s="177"/>
      <c r="R812" s="177"/>
      <c r="S812" s="177"/>
      <c r="T812" s="177"/>
      <c r="U812" s="177"/>
      <c r="V812" s="177"/>
      <c r="W812" s="177"/>
      <c r="X812" s="177"/>
      <c r="Y812" s="177"/>
      <c r="Z812" s="177"/>
      <c r="AA812" s="177"/>
      <c r="AB812" s="177"/>
      <c r="AC812" s="177"/>
      <c r="AD812" s="177"/>
      <c r="AE812" s="177"/>
    </row>
    <row r="813" spans="1:31" ht="13.5" thickBot="1">
      <c r="A813" s="202"/>
      <c r="B813" s="202"/>
      <c r="C813" s="202"/>
      <c r="D813" s="202"/>
      <c r="E813" s="202"/>
      <c r="F813" s="202"/>
      <c r="G813" s="202"/>
      <c r="H813" s="177"/>
      <c r="I813" s="177"/>
      <c r="J813" s="177"/>
      <c r="K813" s="177"/>
      <c r="L813" s="177"/>
      <c r="M813" s="177"/>
      <c r="N813" s="177"/>
      <c r="O813" s="177"/>
      <c r="P813" s="177"/>
      <c r="Q813" s="177"/>
      <c r="R813" s="177"/>
      <c r="S813" s="177"/>
      <c r="T813" s="177"/>
      <c r="U813" s="177"/>
      <c r="V813" s="177"/>
      <c r="W813" s="177"/>
      <c r="X813" s="177"/>
      <c r="Y813" s="177"/>
      <c r="Z813" s="177"/>
      <c r="AA813" s="177"/>
      <c r="AB813" s="177"/>
      <c r="AC813" s="177"/>
      <c r="AD813" s="177"/>
      <c r="AE813" s="177"/>
    </row>
    <row r="814" spans="1:31" ht="13.5" thickBot="1">
      <c r="A814" s="202"/>
      <c r="B814" s="202"/>
      <c r="C814" s="202"/>
      <c r="D814" s="202"/>
      <c r="E814" s="202"/>
      <c r="F814" s="202"/>
      <c r="G814" s="202"/>
      <c r="H814" s="177"/>
      <c r="I814" s="177"/>
      <c r="J814" s="177"/>
      <c r="K814" s="177"/>
      <c r="L814" s="177"/>
      <c r="M814" s="177"/>
      <c r="N814" s="177"/>
      <c r="O814" s="177"/>
      <c r="P814" s="177"/>
      <c r="Q814" s="177"/>
      <c r="R814" s="177"/>
      <c r="S814" s="177"/>
      <c r="T814" s="177"/>
      <c r="U814" s="177"/>
      <c r="V814" s="177"/>
      <c r="W814" s="177"/>
      <c r="X814" s="177"/>
      <c r="Y814" s="177"/>
      <c r="Z814" s="177"/>
      <c r="AA814" s="177"/>
      <c r="AB814" s="177"/>
      <c r="AC814" s="177"/>
      <c r="AD814" s="177"/>
      <c r="AE814" s="177"/>
    </row>
    <row r="815" spans="1:31" ht="13.5" thickBot="1">
      <c r="A815" s="202"/>
      <c r="B815" s="202"/>
      <c r="C815" s="202"/>
      <c r="D815" s="202"/>
      <c r="E815" s="202"/>
      <c r="F815" s="202"/>
      <c r="G815" s="202"/>
      <c r="H815" s="177"/>
      <c r="I815" s="177"/>
      <c r="J815" s="177"/>
      <c r="K815" s="177"/>
      <c r="L815" s="177"/>
      <c r="M815" s="177"/>
      <c r="N815" s="177"/>
      <c r="O815" s="177"/>
      <c r="P815" s="177"/>
      <c r="Q815" s="177"/>
      <c r="R815" s="177"/>
      <c r="S815" s="177"/>
      <c r="T815" s="177"/>
      <c r="U815" s="177"/>
      <c r="V815" s="177"/>
      <c r="W815" s="177"/>
      <c r="X815" s="177"/>
      <c r="Y815" s="177"/>
      <c r="Z815" s="177"/>
      <c r="AA815" s="177"/>
      <c r="AB815" s="177"/>
      <c r="AC815" s="177"/>
      <c r="AD815" s="177"/>
      <c r="AE815" s="177"/>
    </row>
    <row r="816" spans="1:31" ht="13.5" thickBot="1">
      <c r="A816" s="202"/>
      <c r="B816" s="202"/>
      <c r="C816" s="202"/>
      <c r="D816" s="202"/>
      <c r="E816" s="202"/>
      <c r="F816" s="202"/>
      <c r="G816" s="202"/>
      <c r="H816" s="177"/>
      <c r="I816" s="177"/>
      <c r="J816" s="177"/>
      <c r="K816" s="177"/>
      <c r="L816" s="177"/>
      <c r="M816" s="177"/>
      <c r="N816" s="177"/>
      <c r="O816" s="177"/>
      <c r="P816" s="177"/>
      <c r="Q816" s="177"/>
      <c r="R816" s="177"/>
      <c r="S816" s="177"/>
      <c r="T816" s="177"/>
      <c r="U816" s="177"/>
      <c r="V816" s="177"/>
      <c r="W816" s="177"/>
      <c r="X816" s="177"/>
      <c r="Y816" s="177"/>
      <c r="Z816" s="177"/>
      <c r="AA816" s="177"/>
      <c r="AB816" s="177"/>
      <c r="AC816" s="177"/>
      <c r="AD816" s="177"/>
      <c r="AE816" s="177"/>
    </row>
    <row r="817" spans="1:31" ht="13.5" thickBot="1">
      <c r="A817" s="202"/>
      <c r="B817" s="202"/>
      <c r="C817" s="202"/>
      <c r="D817" s="202"/>
      <c r="E817" s="202"/>
      <c r="F817" s="202"/>
      <c r="G817" s="202"/>
      <c r="H817" s="177"/>
      <c r="I817" s="177"/>
      <c r="J817" s="177"/>
      <c r="K817" s="177"/>
      <c r="L817" s="177"/>
      <c r="M817" s="177"/>
      <c r="N817" s="177"/>
      <c r="O817" s="177"/>
      <c r="P817" s="177"/>
      <c r="Q817" s="177"/>
      <c r="R817" s="177"/>
      <c r="S817" s="177"/>
      <c r="T817" s="177"/>
      <c r="U817" s="177"/>
      <c r="V817" s="177"/>
      <c r="W817" s="177"/>
      <c r="X817" s="177"/>
      <c r="Y817" s="177"/>
      <c r="Z817" s="177"/>
      <c r="AA817" s="177"/>
      <c r="AB817" s="177"/>
      <c r="AC817" s="177"/>
      <c r="AD817" s="177"/>
      <c r="AE817" s="177"/>
    </row>
    <row r="818" spans="1:31" ht="13.5" thickBot="1">
      <c r="A818" s="202"/>
      <c r="B818" s="202"/>
      <c r="C818" s="202"/>
      <c r="D818" s="202"/>
      <c r="E818" s="202"/>
      <c r="F818" s="202"/>
      <c r="G818" s="202"/>
      <c r="H818" s="177"/>
      <c r="I818" s="177"/>
      <c r="J818" s="177"/>
      <c r="K818" s="177"/>
      <c r="L818" s="177"/>
      <c r="M818" s="177"/>
      <c r="N818" s="177"/>
      <c r="O818" s="177"/>
      <c r="P818" s="177"/>
      <c r="Q818" s="177"/>
      <c r="R818" s="177"/>
      <c r="S818" s="177"/>
      <c r="T818" s="177"/>
      <c r="U818" s="177"/>
      <c r="V818" s="177"/>
      <c r="W818" s="177"/>
      <c r="X818" s="177"/>
      <c r="Y818" s="177"/>
      <c r="Z818" s="177"/>
      <c r="AA818" s="177"/>
      <c r="AB818" s="177"/>
      <c r="AC818" s="177"/>
      <c r="AD818" s="177"/>
      <c r="AE818" s="177"/>
    </row>
    <row r="819" spans="1:31" ht="13.5" thickBot="1">
      <c r="A819" s="202"/>
      <c r="B819" s="202"/>
      <c r="C819" s="202"/>
      <c r="D819" s="202"/>
      <c r="E819" s="202"/>
      <c r="F819" s="202"/>
      <c r="G819" s="202"/>
      <c r="H819" s="177"/>
      <c r="I819" s="177"/>
      <c r="J819" s="177"/>
      <c r="K819" s="177"/>
      <c r="L819" s="177"/>
      <c r="M819" s="177"/>
      <c r="N819" s="177"/>
      <c r="O819" s="177"/>
      <c r="P819" s="177"/>
      <c r="Q819" s="177"/>
      <c r="R819" s="177"/>
      <c r="S819" s="177"/>
      <c r="T819" s="177"/>
      <c r="U819" s="177"/>
      <c r="V819" s="177"/>
      <c r="W819" s="177"/>
      <c r="X819" s="177"/>
      <c r="Y819" s="177"/>
      <c r="Z819" s="177"/>
      <c r="AA819" s="177"/>
      <c r="AB819" s="177"/>
      <c r="AC819" s="177"/>
      <c r="AD819" s="177"/>
      <c r="AE819" s="177"/>
    </row>
    <row r="820" spans="1:31" ht="13.5" thickBot="1">
      <c r="A820" s="202"/>
      <c r="B820" s="202"/>
      <c r="C820" s="202"/>
      <c r="D820" s="202"/>
      <c r="E820" s="202"/>
      <c r="F820" s="202"/>
      <c r="G820" s="202"/>
      <c r="H820" s="177"/>
      <c r="I820" s="177"/>
      <c r="J820" s="177"/>
      <c r="K820" s="177"/>
      <c r="L820" s="177"/>
      <c r="M820" s="177"/>
      <c r="N820" s="177"/>
      <c r="O820" s="177"/>
      <c r="P820" s="177"/>
      <c r="Q820" s="177"/>
      <c r="R820" s="177"/>
      <c r="S820" s="177"/>
      <c r="T820" s="177"/>
      <c r="U820" s="177"/>
      <c r="V820" s="177"/>
      <c r="W820" s="177"/>
      <c r="X820" s="177"/>
      <c r="Y820" s="177"/>
      <c r="Z820" s="177"/>
      <c r="AA820" s="177"/>
      <c r="AB820" s="177"/>
      <c r="AC820" s="177"/>
      <c r="AD820" s="177"/>
      <c r="AE820" s="177"/>
    </row>
    <row r="821" spans="1:31" ht="13.5" thickBot="1">
      <c r="A821" s="202"/>
      <c r="B821" s="202"/>
      <c r="C821" s="202"/>
      <c r="D821" s="202"/>
      <c r="E821" s="202"/>
      <c r="F821" s="202"/>
      <c r="G821" s="202"/>
      <c r="H821" s="177"/>
      <c r="I821" s="177"/>
      <c r="J821" s="177"/>
      <c r="K821" s="177"/>
      <c r="L821" s="177"/>
      <c r="M821" s="177"/>
      <c r="N821" s="177"/>
      <c r="O821" s="177"/>
      <c r="P821" s="177"/>
      <c r="Q821" s="177"/>
      <c r="R821" s="177"/>
      <c r="S821" s="177"/>
      <c r="T821" s="177"/>
      <c r="U821" s="177"/>
      <c r="V821" s="177"/>
      <c r="W821" s="177"/>
      <c r="X821" s="177"/>
      <c r="Y821" s="177"/>
      <c r="Z821" s="177"/>
      <c r="AA821" s="177"/>
      <c r="AB821" s="177"/>
      <c r="AC821" s="177"/>
      <c r="AD821" s="177"/>
      <c r="AE821" s="177"/>
    </row>
    <row r="822" spans="1:31" ht="13.5" thickBot="1">
      <c r="A822" s="202"/>
      <c r="B822" s="202"/>
      <c r="C822" s="202"/>
      <c r="D822" s="202"/>
      <c r="E822" s="202"/>
      <c r="F822" s="202"/>
      <c r="G822" s="202"/>
      <c r="H822" s="177"/>
      <c r="I822" s="177"/>
      <c r="J822" s="177"/>
      <c r="K822" s="177"/>
      <c r="L822" s="177"/>
      <c r="M822" s="177"/>
      <c r="N822" s="177"/>
      <c r="O822" s="177"/>
      <c r="P822" s="177"/>
      <c r="Q822" s="177"/>
      <c r="R822" s="177"/>
      <c r="S822" s="177"/>
      <c r="T822" s="177"/>
      <c r="U822" s="177"/>
      <c r="V822" s="177"/>
      <c r="W822" s="177"/>
      <c r="X822" s="177"/>
      <c r="Y822" s="177"/>
      <c r="Z822" s="177"/>
      <c r="AA822" s="177"/>
      <c r="AB822" s="177"/>
      <c r="AC822" s="177"/>
      <c r="AD822" s="177"/>
      <c r="AE822" s="177"/>
    </row>
    <row r="823" spans="1:31" ht="13.5" thickBot="1">
      <c r="A823" s="202"/>
      <c r="B823" s="202"/>
      <c r="C823" s="202"/>
      <c r="D823" s="202"/>
      <c r="E823" s="202"/>
      <c r="F823" s="202"/>
      <c r="G823" s="202"/>
      <c r="H823" s="177"/>
      <c r="I823" s="177"/>
      <c r="J823" s="177"/>
      <c r="K823" s="177"/>
      <c r="L823" s="177"/>
      <c r="M823" s="177"/>
      <c r="N823" s="177"/>
      <c r="O823" s="177"/>
      <c r="P823" s="177"/>
      <c r="Q823" s="177"/>
      <c r="R823" s="177"/>
      <c r="S823" s="177"/>
      <c r="T823" s="177"/>
      <c r="U823" s="177"/>
      <c r="V823" s="177"/>
      <c r="W823" s="177"/>
      <c r="X823" s="177"/>
      <c r="Y823" s="177"/>
      <c r="Z823" s="177"/>
      <c r="AA823" s="177"/>
      <c r="AB823" s="177"/>
      <c r="AC823" s="177"/>
      <c r="AD823" s="177"/>
      <c r="AE823" s="177"/>
    </row>
    <row r="824" spans="1:31" ht="13.5" thickBot="1">
      <c r="A824" s="202"/>
      <c r="B824" s="202"/>
      <c r="C824" s="202"/>
      <c r="D824" s="202"/>
      <c r="E824" s="202"/>
      <c r="F824" s="202"/>
      <c r="G824" s="202"/>
      <c r="H824" s="177"/>
      <c r="I824" s="177"/>
      <c r="J824" s="177"/>
      <c r="K824" s="177"/>
      <c r="L824" s="177"/>
      <c r="M824" s="177"/>
      <c r="N824" s="177"/>
      <c r="O824" s="177"/>
      <c r="P824" s="177"/>
      <c r="Q824" s="177"/>
      <c r="R824" s="177"/>
      <c r="S824" s="177"/>
      <c r="T824" s="177"/>
      <c r="U824" s="177"/>
      <c r="V824" s="177"/>
      <c r="W824" s="177"/>
      <c r="X824" s="177"/>
      <c r="Y824" s="177"/>
      <c r="Z824" s="177"/>
      <c r="AA824" s="177"/>
      <c r="AB824" s="177"/>
      <c r="AC824" s="177"/>
      <c r="AD824" s="177"/>
      <c r="AE824" s="177"/>
    </row>
    <row r="825" spans="1:31" ht="13.5" thickBot="1">
      <c r="A825" s="202"/>
      <c r="B825" s="202"/>
      <c r="C825" s="202"/>
      <c r="D825" s="202"/>
      <c r="E825" s="202"/>
      <c r="F825" s="202"/>
      <c r="G825" s="202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7"/>
      <c r="AA825" s="177"/>
      <c r="AB825" s="177"/>
      <c r="AC825" s="177"/>
      <c r="AD825" s="177"/>
      <c r="AE825" s="177"/>
    </row>
    <row r="826" spans="1:31" ht="13.5" thickBot="1">
      <c r="A826" s="202"/>
      <c r="B826" s="202"/>
      <c r="C826" s="202"/>
      <c r="D826" s="202"/>
      <c r="E826" s="202"/>
      <c r="F826" s="202"/>
      <c r="G826" s="202"/>
      <c r="H826" s="177"/>
      <c r="I826" s="177"/>
      <c r="J826" s="177"/>
      <c r="K826" s="177"/>
      <c r="L826" s="177"/>
      <c r="M826" s="177"/>
      <c r="N826" s="177"/>
      <c r="O826" s="177"/>
      <c r="P826" s="177"/>
      <c r="Q826" s="177"/>
      <c r="R826" s="177"/>
      <c r="S826" s="177"/>
      <c r="T826" s="177"/>
      <c r="U826" s="177"/>
      <c r="V826" s="177"/>
      <c r="W826" s="177"/>
      <c r="X826" s="177"/>
      <c r="Y826" s="177"/>
      <c r="Z826" s="177"/>
      <c r="AA826" s="177"/>
      <c r="AB826" s="177"/>
      <c r="AC826" s="177"/>
      <c r="AD826" s="177"/>
      <c r="AE826" s="177"/>
    </row>
    <row r="827" spans="1:31" ht="13.5" thickBot="1">
      <c r="A827" s="202"/>
      <c r="B827" s="202"/>
      <c r="C827" s="202"/>
      <c r="D827" s="202"/>
      <c r="E827" s="202"/>
      <c r="F827" s="202"/>
      <c r="G827" s="202"/>
      <c r="H827" s="177"/>
      <c r="I827" s="177"/>
      <c r="J827" s="177"/>
      <c r="K827" s="177"/>
      <c r="L827" s="177"/>
      <c r="M827" s="177"/>
      <c r="N827" s="177"/>
      <c r="O827" s="177"/>
      <c r="P827" s="177"/>
      <c r="Q827" s="177"/>
      <c r="R827" s="177"/>
      <c r="S827" s="177"/>
      <c r="T827" s="177"/>
      <c r="U827" s="177"/>
      <c r="V827" s="177"/>
      <c r="W827" s="177"/>
      <c r="X827" s="177"/>
      <c r="Y827" s="177"/>
      <c r="Z827" s="177"/>
      <c r="AA827" s="177"/>
      <c r="AB827" s="177"/>
      <c r="AC827" s="177"/>
      <c r="AD827" s="177"/>
      <c r="AE827" s="177"/>
    </row>
    <row r="828" spans="1:31" ht="13.5" thickBot="1">
      <c r="A828" s="202"/>
      <c r="B828" s="202"/>
      <c r="C828" s="202"/>
      <c r="D828" s="202"/>
      <c r="E828" s="202"/>
      <c r="F828" s="202"/>
      <c r="G828" s="202"/>
      <c r="H828" s="177"/>
      <c r="I828" s="177"/>
      <c r="J828" s="177"/>
      <c r="K828" s="177"/>
      <c r="L828" s="177"/>
      <c r="M828" s="177"/>
      <c r="N828" s="177"/>
      <c r="O828" s="177"/>
      <c r="P828" s="177"/>
      <c r="Q828" s="177"/>
      <c r="R828" s="177"/>
      <c r="S828" s="177"/>
      <c r="T828" s="177"/>
      <c r="U828" s="177"/>
      <c r="V828" s="177"/>
      <c r="W828" s="177"/>
      <c r="X828" s="177"/>
      <c r="Y828" s="177"/>
      <c r="Z828" s="177"/>
      <c r="AA828" s="177"/>
      <c r="AB828" s="177"/>
      <c r="AC828" s="177"/>
      <c r="AD828" s="177"/>
      <c r="AE828" s="177"/>
    </row>
    <row r="829" spans="1:31" ht="13.5" thickBot="1">
      <c r="A829" s="202"/>
      <c r="B829" s="202"/>
      <c r="C829" s="202"/>
      <c r="D829" s="202"/>
      <c r="E829" s="202"/>
      <c r="F829" s="202"/>
      <c r="G829" s="202"/>
      <c r="H829" s="177"/>
      <c r="I829" s="177"/>
      <c r="J829" s="177"/>
      <c r="K829" s="177"/>
      <c r="L829" s="177"/>
      <c r="M829" s="177"/>
      <c r="N829" s="177"/>
      <c r="O829" s="177"/>
      <c r="P829" s="177"/>
      <c r="Q829" s="177"/>
      <c r="R829" s="177"/>
      <c r="S829" s="177"/>
      <c r="T829" s="177"/>
      <c r="U829" s="177"/>
      <c r="V829" s="177"/>
      <c r="W829" s="177"/>
      <c r="X829" s="177"/>
      <c r="Y829" s="177"/>
      <c r="Z829" s="177"/>
      <c r="AA829" s="177"/>
      <c r="AB829" s="177"/>
      <c r="AC829" s="177"/>
      <c r="AD829" s="177"/>
      <c r="AE829" s="177"/>
    </row>
    <row r="830" spans="1:31" ht="13.5" thickBot="1">
      <c r="A830" s="202"/>
      <c r="B830" s="202"/>
      <c r="C830" s="202"/>
      <c r="D830" s="202"/>
      <c r="E830" s="202"/>
      <c r="F830" s="202"/>
      <c r="G830" s="202"/>
      <c r="H830" s="177"/>
      <c r="I830" s="177"/>
      <c r="J830" s="177"/>
      <c r="K830" s="177"/>
      <c r="L830" s="177"/>
      <c r="M830" s="177"/>
      <c r="N830" s="177"/>
      <c r="O830" s="177"/>
      <c r="P830" s="177"/>
      <c r="Q830" s="177"/>
      <c r="R830" s="177"/>
      <c r="S830" s="177"/>
      <c r="T830" s="177"/>
      <c r="U830" s="177"/>
      <c r="V830" s="177"/>
      <c r="W830" s="177"/>
      <c r="X830" s="177"/>
      <c r="Y830" s="177"/>
      <c r="Z830" s="177"/>
      <c r="AA830" s="177"/>
      <c r="AB830" s="177"/>
      <c r="AC830" s="177"/>
      <c r="AD830" s="177"/>
      <c r="AE830" s="177"/>
    </row>
    <row r="831" spans="1:31" ht="13.5" thickBot="1">
      <c r="A831" s="202"/>
      <c r="B831" s="202"/>
      <c r="C831" s="202"/>
      <c r="D831" s="202"/>
      <c r="E831" s="202"/>
      <c r="F831" s="202"/>
      <c r="G831" s="202"/>
      <c r="H831" s="177"/>
      <c r="I831" s="177"/>
      <c r="J831" s="177"/>
      <c r="K831" s="177"/>
      <c r="L831" s="177"/>
      <c r="M831" s="177"/>
      <c r="N831" s="177"/>
      <c r="O831" s="177"/>
      <c r="P831" s="177"/>
      <c r="Q831" s="177"/>
      <c r="R831" s="177"/>
      <c r="S831" s="177"/>
      <c r="T831" s="177"/>
      <c r="U831" s="177"/>
      <c r="V831" s="177"/>
      <c r="W831" s="177"/>
      <c r="X831" s="177"/>
      <c r="Y831" s="177"/>
      <c r="Z831" s="177"/>
      <c r="AA831" s="177"/>
      <c r="AB831" s="177"/>
      <c r="AC831" s="177"/>
      <c r="AD831" s="177"/>
      <c r="AE831" s="177"/>
    </row>
    <row r="832" spans="1:31" ht="13.5" thickBot="1">
      <c r="A832" s="202"/>
      <c r="B832" s="202"/>
      <c r="C832" s="202"/>
      <c r="D832" s="202"/>
      <c r="E832" s="202"/>
      <c r="F832" s="202"/>
      <c r="G832" s="202"/>
      <c r="H832" s="177"/>
      <c r="I832" s="177"/>
      <c r="J832" s="177"/>
      <c r="K832" s="177"/>
      <c r="L832" s="177"/>
      <c r="M832" s="177"/>
      <c r="N832" s="177"/>
      <c r="O832" s="177"/>
      <c r="P832" s="177"/>
      <c r="Q832" s="177"/>
      <c r="R832" s="177"/>
      <c r="S832" s="177"/>
      <c r="T832" s="177"/>
      <c r="U832" s="177"/>
      <c r="V832" s="177"/>
      <c r="W832" s="177"/>
      <c r="X832" s="177"/>
      <c r="Y832" s="177"/>
      <c r="Z832" s="177"/>
      <c r="AA832" s="177"/>
      <c r="AB832" s="177"/>
      <c r="AC832" s="177"/>
      <c r="AD832" s="177"/>
      <c r="AE832" s="177"/>
    </row>
    <row r="833" spans="1:31" ht="13.5" thickBot="1">
      <c r="A833" s="202"/>
      <c r="B833" s="202"/>
      <c r="C833" s="202"/>
      <c r="D833" s="202"/>
      <c r="E833" s="202"/>
      <c r="F833" s="202"/>
      <c r="G833" s="202"/>
      <c r="H833" s="177"/>
      <c r="I833" s="177"/>
      <c r="J833" s="177"/>
      <c r="K833" s="177"/>
      <c r="L833" s="177"/>
      <c r="M833" s="177"/>
      <c r="N833" s="177"/>
      <c r="O833" s="177"/>
      <c r="P833" s="177"/>
      <c r="Q833" s="177"/>
      <c r="R833" s="177"/>
      <c r="S833" s="177"/>
      <c r="T833" s="177"/>
      <c r="U833" s="177"/>
      <c r="V833" s="177"/>
      <c r="W833" s="177"/>
      <c r="X833" s="177"/>
      <c r="Y833" s="177"/>
      <c r="Z833" s="177"/>
      <c r="AA833" s="177"/>
      <c r="AB833" s="177"/>
      <c r="AC833" s="177"/>
      <c r="AD833" s="177"/>
      <c r="AE833" s="177"/>
    </row>
    <row r="834" spans="1:31" ht="13.5" thickBot="1">
      <c r="A834" s="202"/>
      <c r="B834" s="202"/>
      <c r="C834" s="202"/>
      <c r="D834" s="202"/>
      <c r="E834" s="202"/>
      <c r="F834" s="202"/>
      <c r="G834" s="202"/>
      <c r="H834" s="177"/>
      <c r="I834" s="177"/>
      <c r="J834" s="177"/>
      <c r="K834" s="177"/>
      <c r="L834" s="177"/>
      <c r="M834" s="177"/>
      <c r="N834" s="177"/>
      <c r="O834" s="177"/>
      <c r="P834" s="177"/>
      <c r="Q834" s="177"/>
      <c r="R834" s="177"/>
      <c r="S834" s="177"/>
      <c r="T834" s="177"/>
      <c r="U834" s="177"/>
      <c r="V834" s="177"/>
      <c r="W834" s="177"/>
      <c r="X834" s="177"/>
      <c r="Y834" s="177"/>
      <c r="Z834" s="177"/>
      <c r="AA834" s="177"/>
      <c r="AB834" s="177"/>
      <c r="AC834" s="177"/>
      <c r="AD834" s="177"/>
      <c r="AE834" s="177"/>
    </row>
    <row r="835" spans="1:31" ht="13.5" thickBot="1">
      <c r="A835" s="202"/>
      <c r="B835" s="202"/>
      <c r="C835" s="202"/>
      <c r="D835" s="202"/>
      <c r="E835" s="202"/>
      <c r="F835" s="202"/>
      <c r="G835" s="202"/>
      <c r="H835" s="177"/>
      <c r="I835" s="177"/>
      <c r="J835" s="177"/>
      <c r="K835" s="177"/>
      <c r="L835" s="177"/>
      <c r="M835" s="177"/>
      <c r="N835" s="177"/>
      <c r="O835" s="177"/>
      <c r="P835" s="177"/>
      <c r="Q835" s="177"/>
      <c r="R835" s="177"/>
      <c r="S835" s="177"/>
      <c r="T835" s="177"/>
      <c r="U835" s="177"/>
      <c r="V835" s="177"/>
      <c r="W835" s="177"/>
      <c r="X835" s="177"/>
      <c r="Y835" s="177"/>
      <c r="Z835" s="177"/>
      <c r="AA835" s="177"/>
      <c r="AB835" s="177"/>
      <c r="AC835" s="177"/>
      <c r="AD835" s="177"/>
      <c r="AE835" s="177"/>
    </row>
    <row r="836" spans="1:31" ht="13.5" thickBot="1">
      <c r="A836" s="202"/>
      <c r="B836" s="202"/>
      <c r="C836" s="202"/>
      <c r="D836" s="202"/>
      <c r="E836" s="202"/>
      <c r="F836" s="202"/>
      <c r="G836" s="202"/>
      <c r="H836" s="177"/>
      <c r="I836" s="177"/>
      <c r="J836" s="177"/>
      <c r="K836" s="177"/>
      <c r="L836" s="177"/>
      <c r="M836" s="177"/>
      <c r="N836" s="177"/>
      <c r="O836" s="177"/>
      <c r="P836" s="177"/>
      <c r="Q836" s="177"/>
      <c r="R836" s="177"/>
      <c r="S836" s="177"/>
      <c r="T836" s="177"/>
      <c r="U836" s="177"/>
      <c r="V836" s="177"/>
      <c r="W836" s="177"/>
      <c r="X836" s="177"/>
      <c r="Y836" s="177"/>
      <c r="Z836" s="177"/>
      <c r="AA836" s="177"/>
      <c r="AB836" s="177"/>
      <c r="AC836" s="177"/>
      <c r="AD836" s="177"/>
      <c r="AE836" s="177"/>
    </row>
    <row r="837" spans="1:31" ht="13.5" thickBot="1">
      <c r="A837" s="202"/>
      <c r="B837" s="202"/>
      <c r="C837" s="202"/>
      <c r="D837" s="202"/>
      <c r="E837" s="202"/>
      <c r="F837" s="202"/>
      <c r="G837" s="202"/>
      <c r="H837" s="177"/>
      <c r="I837" s="177"/>
      <c r="J837" s="177"/>
      <c r="K837" s="177"/>
      <c r="L837" s="177"/>
      <c r="M837" s="177"/>
      <c r="N837" s="177"/>
      <c r="O837" s="177"/>
      <c r="P837" s="177"/>
      <c r="Q837" s="177"/>
      <c r="R837" s="177"/>
      <c r="S837" s="177"/>
      <c r="T837" s="177"/>
      <c r="U837" s="177"/>
      <c r="V837" s="177"/>
      <c r="W837" s="177"/>
      <c r="X837" s="177"/>
      <c r="Y837" s="177"/>
      <c r="Z837" s="177"/>
      <c r="AA837" s="177"/>
      <c r="AB837" s="177"/>
      <c r="AC837" s="177"/>
      <c r="AD837" s="177"/>
      <c r="AE837" s="177"/>
    </row>
    <row r="838" spans="1:31" ht="13.5" thickBot="1">
      <c r="A838" s="202"/>
      <c r="B838" s="202"/>
      <c r="C838" s="202"/>
      <c r="D838" s="202"/>
      <c r="E838" s="202"/>
      <c r="F838" s="202"/>
      <c r="G838" s="202"/>
      <c r="H838" s="177"/>
      <c r="I838" s="177"/>
      <c r="J838" s="177"/>
      <c r="K838" s="177"/>
      <c r="L838" s="177"/>
      <c r="M838" s="177"/>
      <c r="N838" s="177"/>
      <c r="O838" s="177"/>
      <c r="P838" s="177"/>
      <c r="Q838" s="177"/>
      <c r="R838" s="177"/>
      <c r="S838" s="177"/>
      <c r="T838" s="177"/>
      <c r="U838" s="177"/>
      <c r="V838" s="177"/>
      <c r="W838" s="177"/>
      <c r="X838" s="177"/>
      <c r="Y838" s="177"/>
      <c r="Z838" s="177"/>
      <c r="AA838" s="177"/>
      <c r="AB838" s="177"/>
      <c r="AC838" s="177"/>
      <c r="AD838" s="177"/>
      <c r="AE838" s="177"/>
    </row>
    <row r="839" spans="1:31" ht="13.5" thickBot="1">
      <c r="A839" s="202"/>
      <c r="B839" s="202"/>
      <c r="C839" s="202"/>
      <c r="D839" s="202"/>
      <c r="E839" s="202"/>
      <c r="F839" s="202"/>
      <c r="G839" s="202"/>
      <c r="H839" s="177"/>
      <c r="I839" s="177"/>
      <c r="J839" s="177"/>
      <c r="K839" s="177"/>
      <c r="L839" s="177"/>
      <c r="M839" s="177"/>
      <c r="N839" s="177"/>
      <c r="O839" s="177"/>
      <c r="P839" s="177"/>
      <c r="Q839" s="177"/>
      <c r="R839" s="177"/>
      <c r="S839" s="177"/>
      <c r="T839" s="177"/>
      <c r="U839" s="177"/>
      <c r="V839" s="177"/>
      <c r="W839" s="177"/>
      <c r="X839" s="177"/>
      <c r="Y839" s="177"/>
      <c r="Z839" s="177"/>
      <c r="AA839" s="177"/>
      <c r="AB839" s="177"/>
      <c r="AC839" s="177"/>
      <c r="AD839" s="177"/>
      <c r="AE839" s="177"/>
    </row>
    <row r="840" spans="1:31" ht="13.5" thickBot="1">
      <c r="A840" s="202"/>
      <c r="B840" s="202"/>
      <c r="C840" s="202"/>
      <c r="D840" s="202"/>
      <c r="E840" s="202"/>
      <c r="F840" s="202"/>
      <c r="G840" s="202"/>
      <c r="H840" s="177"/>
      <c r="I840" s="177"/>
      <c r="J840" s="177"/>
      <c r="K840" s="177"/>
      <c r="L840" s="177"/>
      <c r="M840" s="177"/>
      <c r="N840" s="177"/>
      <c r="O840" s="177"/>
      <c r="P840" s="177"/>
      <c r="Q840" s="177"/>
      <c r="R840" s="177"/>
      <c r="S840" s="177"/>
      <c r="T840" s="177"/>
      <c r="U840" s="177"/>
      <c r="V840" s="177"/>
      <c r="W840" s="177"/>
      <c r="X840" s="177"/>
      <c r="Y840" s="177"/>
      <c r="Z840" s="177"/>
      <c r="AA840" s="177"/>
      <c r="AB840" s="177"/>
      <c r="AC840" s="177"/>
      <c r="AD840" s="177"/>
      <c r="AE840" s="177"/>
    </row>
    <row r="841" spans="1:31" ht="13.5" thickBot="1">
      <c r="A841" s="202"/>
      <c r="B841" s="202"/>
      <c r="C841" s="202"/>
      <c r="D841" s="202"/>
      <c r="E841" s="202"/>
      <c r="F841" s="202"/>
      <c r="G841" s="202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</row>
    <row r="842" spans="1:31" ht="13.5" thickBot="1">
      <c r="A842" s="202"/>
      <c r="B842" s="202"/>
      <c r="C842" s="202"/>
      <c r="D842" s="202"/>
      <c r="E842" s="202"/>
      <c r="F842" s="202"/>
      <c r="G842" s="202"/>
      <c r="H842" s="177"/>
      <c r="I842" s="177"/>
      <c r="J842" s="177"/>
      <c r="K842" s="177"/>
      <c r="L842" s="177"/>
      <c r="M842" s="177"/>
      <c r="N842" s="177"/>
      <c r="O842" s="177"/>
      <c r="P842" s="177"/>
      <c r="Q842" s="177"/>
      <c r="R842" s="177"/>
      <c r="S842" s="177"/>
      <c r="T842" s="177"/>
      <c r="U842" s="177"/>
      <c r="V842" s="177"/>
      <c r="W842" s="177"/>
      <c r="X842" s="177"/>
      <c r="Y842" s="177"/>
      <c r="Z842" s="177"/>
      <c r="AA842" s="177"/>
      <c r="AB842" s="177"/>
      <c r="AC842" s="177"/>
      <c r="AD842" s="177"/>
      <c r="AE842" s="177"/>
    </row>
    <row r="843" spans="1:31" ht="13.5" thickBot="1">
      <c r="A843" s="202"/>
      <c r="B843" s="202"/>
      <c r="C843" s="202"/>
      <c r="D843" s="202"/>
      <c r="E843" s="202"/>
      <c r="F843" s="202"/>
      <c r="G843" s="202"/>
      <c r="H843" s="177"/>
      <c r="I843" s="177"/>
      <c r="J843" s="177"/>
      <c r="K843" s="177"/>
      <c r="L843" s="177"/>
      <c r="M843" s="177"/>
      <c r="N843" s="177"/>
      <c r="O843" s="177"/>
      <c r="P843" s="177"/>
      <c r="Q843" s="177"/>
      <c r="R843" s="177"/>
      <c r="S843" s="177"/>
      <c r="T843" s="177"/>
      <c r="U843" s="177"/>
      <c r="V843" s="177"/>
      <c r="W843" s="177"/>
      <c r="X843" s="177"/>
      <c r="Y843" s="177"/>
      <c r="Z843" s="177"/>
      <c r="AA843" s="177"/>
      <c r="AB843" s="177"/>
      <c r="AC843" s="177"/>
      <c r="AD843" s="177"/>
      <c r="AE843" s="177"/>
    </row>
    <row r="844" spans="1:31" ht="13.5" thickBot="1">
      <c r="A844" s="202"/>
      <c r="B844" s="202"/>
      <c r="C844" s="202"/>
      <c r="D844" s="202"/>
      <c r="E844" s="202"/>
      <c r="F844" s="202"/>
      <c r="G844" s="202"/>
      <c r="H844" s="177"/>
      <c r="I844" s="177"/>
      <c r="J844" s="177"/>
      <c r="K844" s="177"/>
      <c r="L844" s="177"/>
      <c r="M844" s="177"/>
      <c r="N844" s="177"/>
      <c r="O844" s="177"/>
      <c r="P844" s="177"/>
      <c r="Q844" s="177"/>
      <c r="R844" s="177"/>
      <c r="S844" s="177"/>
      <c r="T844" s="177"/>
      <c r="U844" s="177"/>
      <c r="V844" s="177"/>
      <c r="W844" s="177"/>
      <c r="X844" s="177"/>
      <c r="Y844" s="177"/>
      <c r="Z844" s="177"/>
      <c r="AA844" s="177"/>
      <c r="AB844" s="177"/>
      <c r="AC844" s="177"/>
      <c r="AD844" s="177"/>
      <c r="AE844" s="177"/>
    </row>
    <row r="845" spans="1:31" ht="13.5" thickBot="1">
      <c r="A845" s="202"/>
      <c r="B845" s="202"/>
      <c r="C845" s="202"/>
      <c r="D845" s="202"/>
      <c r="E845" s="202"/>
      <c r="F845" s="202"/>
      <c r="G845" s="202"/>
      <c r="H845" s="177"/>
      <c r="I845" s="177"/>
      <c r="J845" s="177"/>
      <c r="K845" s="177"/>
      <c r="L845" s="177"/>
      <c r="M845" s="177"/>
      <c r="N845" s="177"/>
      <c r="O845" s="177"/>
      <c r="P845" s="177"/>
      <c r="Q845" s="177"/>
      <c r="R845" s="177"/>
      <c r="S845" s="177"/>
      <c r="T845" s="177"/>
      <c r="U845" s="177"/>
      <c r="V845" s="177"/>
      <c r="W845" s="177"/>
      <c r="X845" s="177"/>
      <c r="Y845" s="177"/>
      <c r="Z845" s="177"/>
      <c r="AA845" s="177"/>
      <c r="AB845" s="177"/>
      <c r="AC845" s="177"/>
      <c r="AD845" s="177"/>
      <c r="AE845" s="177"/>
    </row>
    <row r="846" spans="1:31" ht="13.5" thickBot="1">
      <c r="A846" s="202"/>
      <c r="B846" s="202"/>
      <c r="C846" s="202"/>
      <c r="D846" s="202"/>
      <c r="E846" s="202"/>
      <c r="F846" s="202"/>
      <c r="G846" s="202"/>
      <c r="H846" s="177"/>
      <c r="I846" s="177"/>
      <c r="J846" s="177"/>
      <c r="K846" s="177"/>
      <c r="L846" s="177"/>
      <c r="M846" s="177"/>
      <c r="N846" s="177"/>
      <c r="O846" s="177"/>
      <c r="P846" s="177"/>
      <c r="Q846" s="177"/>
      <c r="R846" s="177"/>
      <c r="S846" s="177"/>
      <c r="T846" s="177"/>
      <c r="U846" s="177"/>
      <c r="V846" s="177"/>
      <c r="W846" s="177"/>
      <c r="X846" s="177"/>
      <c r="Y846" s="177"/>
      <c r="Z846" s="177"/>
      <c r="AA846" s="177"/>
      <c r="AB846" s="177"/>
      <c r="AC846" s="177"/>
      <c r="AD846" s="177"/>
      <c r="AE846" s="177"/>
    </row>
    <row r="847" spans="1:31" ht="13.5" thickBot="1">
      <c r="A847" s="202"/>
      <c r="B847" s="202"/>
      <c r="C847" s="202"/>
      <c r="D847" s="202"/>
      <c r="E847" s="202"/>
      <c r="F847" s="202"/>
      <c r="G847" s="202"/>
      <c r="H847" s="177"/>
      <c r="I847" s="177"/>
      <c r="J847" s="177"/>
      <c r="K847" s="177"/>
      <c r="L847" s="177"/>
      <c r="M847" s="177"/>
      <c r="N847" s="177"/>
      <c r="O847" s="177"/>
      <c r="P847" s="177"/>
      <c r="Q847" s="177"/>
      <c r="R847" s="177"/>
      <c r="S847" s="177"/>
      <c r="T847" s="177"/>
      <c r="U847" s="177"/>
      <c r="V847" s="177"/>
      <c r="W847" s="177"/>
      <c r="X847" s="177"/>
      <c r="Y847" s="177"/>
      <c r="Z847" s="177"/>
      <c r="AA847" s="177"/>
      <c r="AB847" s="177"/>
      <c r="AC847" s="177"/>
      <c r="AD847" s="177"/>
      <c r="AE847" s="177"/>
    </row>
    <row r="848" spans="1:31" ht="13.5" thickBot="1">
      <c r="A848" s="202"/>
      <c r="B848" s="202"/>
      <c r="C848" s="202"/>
      <c r="D848" s="202"/>
      <c r="E848" s="202"/>
      <c r="F848" s="202"/>
      <c r="G848" s="202"/>
      <c r="H848" s="177"/>
      <c r="I848" s="177"/>
      <c r="J848" s="177"/>
      <c r="K848" s="177"/>
      <c r="L848" s="177"/>
      <c r="M848" s="177"/>
      <c r="N848" s="177"/>
      <c r="O848" s="177"/>
      <c r="P848" s="177"/>
      <c r="Q848" s="177"/>
      <c r="R848" s="177"/>
      <c r="S848" s="177"/>
      <c r="T848" s="177"/>
      <c r="U848" s="177"/>
      <c r="V848" s="177"/>
      <c r="W848" s="177"/>
      <c r="X848" s="177"/>
      <c r="Y848" s="177"/>
      <c r="Z848" s="177"/>
      <c r="AA848" s="177"/>
      <c r="AB848" s="177"/>
      <c r="AC848" s="177"/>
      <c r="AD848" s="177"/>
      <c r="AE848" s="177"/>
    </row>
    <row r="849" spans="1:31" ht="13.5" thickBot="1">
      <c r="A849" s="202"/>
      <c r="B849" s="202"/>
      <c r="C849" s="202"/>
      <c r="D849" s="202"/>
      <c r="E849" s="202"/>
      <c r="F849" s="202"/>
      <c r="G849" s="202"/>
      <c r="H849" s="177"/>
      <c r="I849" s="177"/>
      <c r="J849" s="177"/>
      <c r="K849" s="177"/>
      <c r="L849" s="177"/>
      <c r="M849" s="177"/>
      <c r="N849" s="177"/>
      <c r="O849" s="177"/>
      <c r="P849" s="177"/>
      <c r="Q849" s="177"/>
      <c r="R849" s="177"/>
      <c r="S849" s="177"/>
      <c r="T849" s="177"/>
      <c r="U849" s="177"/>
      <c r="V849" s="177"/>
      <c r="W849" s="177"/>
      <c r="X849" s="177"/>
      <c r="Y849" s="177"/>
      <c r="Z849" s="177"/>
      <c r="AA849" s="177"/>
      <c r="AB849" s="177"/>
      <c r="AC849" s="177"/>
      <c r="AD849" s="177"/>
      <c r="AE849" s="177"/>
    </row>
    <row r="850" spans="1:31" ht="13.5" thickBot="1">
      <c r="A850" s="202"/>
      <c r="B850" s="202"/>
      <c r="C850" s="202"/>
      <c r="D850" s="202"/>
      <c r="E850" s="202"/>
      <c r="F850" s="202"/>
      <c r="G850" s="202"/>
      <c r="H850" s="177"/>
      <c r="I850" s="177"/>
      <c r="J850" s="177"/>
      <c r="K850" s="177"/>
      <c r="L850" s="177"/>
      <c r="M850" s="177"/>
      <c r="N850" s="177"/>
      <c r="O850" s="177"/>
      <c r="P850" s="177"/>
      <c r="Q850" s="177"/>
      <c r="R850" s="177"/>
      <c r="S850" s="177"/>
      <c r="T850" s="177"/>
      <c r="U850" s="177"/>
      <c r="V850" s="177"/>
      <c r="W850" s="177"/>
      <c r="X850" s="177"/>
      <c r="Y850" s="177"/>
      <c r="Z850" s="177"/>
      <c r="AA850" s="177"/>
      <c r="AB850" s="177"/>
      <c r="AC850" s="177"/>
      <c r="AD850" s="177"/>
      <c r="AE850" s="177"/>
    </row>
    <row r="851" spans="1:31" ht="13.5" thickBot="1">
      <c r="A851" s="202"/>
      <c r="B851" s="202"/>
      <c r="C851" s="202"/>
      <c r="D851" s="202"/>
      <c r="E851" s="202"/>
      <c r="F851" s="202"/>
      <c r="G851" s="202"/>
      <c r="H851" s="177"/>
      <c r="I851" s="177"/>
      <c r="J851" s="177"/>
      <c r="K851" s="177"/>
      <c r="L851" s="177"/>
      <c r="M851" s="177"/>
      <c r="N851" s="177"/>
      <c r="O851" s="177"/>
      <c r="P851" s="177"/>
      <c r="Q851" s="177"/>
      <c r="R851" s="177"/>
      <c r="S851" s="177"/>
      <c r="T851" s="177"/>
      <c r="U851" s="177"/>
      <c r="V851" s="177"/>
      <c r="W851" s="177"/>
      <c r="X851" s="177"/>
      <c r="Y851" s="177"/>
      <c r="Z851" s="177"/>
      <c r="AA851" s="177"/>
      <c r="AB851" s="177"/>
      <c r="AC851" s="177"/>
      <c r="AD851" s="177"/>
      <c r="AE851" s="177"/>
    </row>
    <row r="852" spans="1:31" ht="13.5" thickBot="1">
      <c r="A852" s="202"/>
      <c r="B852" s="202"/>
      <c r="C852" s="202"/>
      <c r="D852" s="202"/>
      <c r="E852" s="202"/>
      <c r="F852" s="202"/>
      <c r="G852" s="202"/>
      <c r="H852" s="177"/>
      <c r="I852" s="177"/>
      <c r="J852" s="177"/>
      <c r="K852" s="177"/>
      <c r="L852" s="177"/>
      <c r="M852" s="177"/>
      <c r="N852" s="177"/>
      <c r="O852" s="177"/>
      <c r="P852" s="177"/>
      <c r="Q852" s="177"/>
      <c r="R852" s="177"/>
      <c r="S852" s="177"/>
      <c r="T852" s="177"/>
      <c r="U852" s="177"/>
      <c r="V852" s="177"/>
      <c r="W852" s="177"/>
      <c r="X852" s="177"/>
      <c r="Y852" s="177"/>
      <c r="Z852" s="177"/>
      <c r="AA852" s="177"/>
      <c r="AB852" s="177"/>
      <c r="AC852" s="177"/>
      <c r="AD852" s="177"/>
      <c r="AE852" s="177"/>
    </row>
    <row r="853" spans="1:31" ht="13.5" thickBot="1">
      <c r="A853" s="202"/>
      <c r="B853" s="202"/>
      <c r="C853" s="202"/>
      <c r="D853" s="202"/>
      <c r="E853" s="202"/>
      <c r="F853" s="202"/>
      <c r="G853" s="202"/>
      <c r="H853" s="177"/>
      <c r="I853" s="177"/>
      <c r="J853" s="177"/>
      <c r="K853" s="177"/>
      <c r="L853" s="177"/>
      <c r="M853" s="177"/>
      <c r="N853" s="177"/>
      <c r="O853" s="177"/>
      <c r="P853" s="177"/>
      <c r="Q853" s="177"/>
      <c r="R853" s="177"/>
      <c r="S853" s="177"/>
      <c r="T853" s="177"/>
      <c r="U853" s="177"/>
      <c r="V853" s="177"/>
      <c r="W853" s="177"/>
      <c r="X853" s="177"/>
      <c r="Y853" s="177"/>
      <c r="Z853" s="177"/>
      <c r="AA853" s="177"/>
      <c r="AB853" s="177"/>
      <c r="AC853" s="177"/>
      <c r="AD853" s="177"/>
      <c r="AE853" s="177"/>
    </row>
    <row r="854" spans="1:31" ht="13.5" thickBot="1">
      <c r="A854" s="202"/>
      <c r="B854" s="202"/>
      <c r="C854" s="202"/>
      <c r="D854" s="202"/>
      <c r="E854" s="202"/>
      <c r="F854" s="202"/>
      <c r="G854" s="202"/>
      <c r="H854" s="177"/>
      <c r="I854" s="177"/>
      <c r="J854" s="177"/>
      <c r="K854" s="177"/>
      <c r="L854" s="177"/>
      <c r="M854" s="177"/>
      <c r="N854" s="177"/>
      <c r="O854" s="177"/>
      <c r="P854" s="177"/>
      <c r="Q854" s="177"/>
      <c r="R854" s="177"/>
      <c r="S854" s="177"/>
      <c r="T854" s="177"/>
      <c r="U854" s="177"/>
      <c r="V854" s="177"/>
      <c r="W854" s="177"/>
      <c r="X854" s="177"/>
      <c r="Y854" s="177"/>
      <c r="Z854" s="177"/>
      <c r="AA854" s="177"/>
      <c r="AB854" s="177"/>
      <c r="AC854" s="177"/>
      <c r="AD854" s="177"/>
      <c r="AE854" s="177"/>
    </row>
    <row r="855" spans="1:31" ht="13.5" thickBot="1">
      <c r="A855" s="202"/>
      <c r="B855" s="202"/>
      <c r="C855" s="202"/>
      <c r="D855" s="202"/>
      <c r="E855" s="202"/>
      <c r="F855" s="202"/>
      <c r="G855" s="202"/>
      <c r="H855" s="177"/>
      <c r="I855" s="177"/>
      <c r="J855" s="177"/>
      <c r="K855" s="177"/>
      <c r="L855" s="177"/>
      <c r="M855" s="177"/>
      <c r="N855" s="177"/>
      <c r="O855" s="177"/>
      <c r="P855" s="177"/>
      <c r="Q855" s="177"/>
      <c r="R855" s="177"/>
      <c r="S855" s="177"/>
      <c r="T855" s="177"/>
      <c r="U855" s="177"/>
      <c r="V855" s="177"/>
      <c r="W855" s="177"/>
      <c r="X855" s="177"/>
      <c r="Y855" s="177"/>
      <c r="Z855" s="177"/>
      <c r="AA855" s="177"/>
      <c r="AB855" s="177"/>
      <c r="AC855" s="177"/>
      <c r="AD855" s="177"/>
      <c r="AE855" s="177"/>
    </row>
    <row r="856" spans="1:31" ht="13.5" thickBot="1">
      <c r="A856" s="202"/>
      <c r="B856" s="202"/>
      <c r="C856" s="202"/>
      <c r="D856" s="202"/>
      <c r="E856" s="202"/>
      <c r="F856" s="202"/>
      <c r="G856" s="202"/>
      <c r="H856" s="177"/>
      <c r="I856" s="177"/>
      <c r="J856" s="177"/>
      <c r="K856" s="177"/>
      <c r="L856" s="177"/>
      <c r="M856" s="177"/>
      <c r="N856" s="177"/>
      <c r="O856" s="177"/>
      <c r="P856" s="177"/>
      <c r="Q856" s="177"/>
      <c r="R856" s="177"/>
      <c r="S856" s="177"/>
      <c r="T856" s="177"/>
      <c r="U856" s="177"/>
      <c r="V856" s="177"/>
      <c r="W856" s="177"/>
      <c r="X856" s="177"/>
      <c r="Y856" s="177"/>
      <c r="Z856" s="177"/>
      <c r="AA856" s="177"/>
      <c r="AB856" s="177"/>
      <c r="AC856" s="177"/>
      <c r="AD856" s="177"/>
      <c r="AE856" s="177"/>
    </row>
    <row r="857" spans="1:31" ht="13.5" thickBot="1">
      <c r="A857" s="202"/>
      <c r="B857" s="202"/>
      <c r="C857" s="202"/>
      <c r="D857" s="202"/>
      <c r="E857" s="202"/>
      <c r="F857" s="202"/>
      <c r="G857" s="202"/>
      <c r="H857" s="177"/>
      <c r="I857" s="177"/>
      <c r="J857" s="177"/>
      <c r="K857" s="177"/>
      <c r="L857" s="177"/>
      <c r="M857" s="177"/>
      <c r="N857" s="177"/>
      <c r="O857" s="177"/>
      <c r="P857" s="177"/>
      <c r="Q857" s="177"/>
      <c r="R857" s="177"/>
      <c r="S857" s="177"/>
      <c r="T857" s="177"/>
      <c r="U857" s="177"/>
      <c r="V857" s="177"/>
      <c r="W857" s="177"/>
      <c r="X857" s="177"/>
      <c r="Y857" s="177"/>
      <c r="Z857" s="177"/>
      <c r="AA857" s="177"/>
      <c r="AB857" s="177"/>
      <c r="AC857" s="177"/>
      <c r="AD857" s="177"/>
      <c r="AE857" s="177"/>
    </row>
    <row r="858" spans="1:31" ht="13.5" thickBot="1">
      <c r="A858" s="202"/>
      <c r="B858" s="202"/>
      <c r="C858" s="202"/>
      <c r="D858" s="202"/>
      <c r="E858" s="202"/>
      <c r="F858" s="202"/>
      <c r="G858" s="202"/>
      <c r="H858" s="177"/>
      <c r="I858" s="177"/>
      <c r="J858" s="177"/>
      <c r="K858" s="177"/>
      <c r="L858" s="177"/>
      <c r="M858" s="177"/>
      <c r="N858" s="177"/>
      <c r="O858" s="177"/>
      <c r="P858" s="177"/>
      <c r="Q858" s="177"/>
      <c r="R858" s="177"/>
      <c r="S858" s="177"/>
      <c r="T858" s="177"/>
      <c r="U858" s="177"/>
      <c r="V858" s="177"/>
      <c r="W858" s="177"/>
      <c r="X858" s="177"/>
      <c r="Y858" s="177"/>
      <c r="Z858" s="177"/>
      <c r="AA858" s="177"/>
      <c r="AB858" s="177"/>
      <c r="AC858" s="177"/>
      <c r="AD858" s="177"/>
      <c r="AE858" s="177"/>
    </row>
    <row r="859" spans="1:31" ht="13.5" thickBot="1">
      <c r="A859" s="202"/>
      <c r="B859" s="202"/>
      <c r="C859" s="202"/>
      <c r="D859" s="202"/>
      <c r="E859" s="202"/>
      <c r="F859" s="202"/>
      <c r="G859" s="202"/>
      <c r="H859" s="177"/>
      <c r="I859" s="177"/>
      <c r="J859" s="177"/>
      <c r="K859" s="177"/>
      <c r="L859" s="177"/>
      <c r="M859" s="177"/>
      <c r="N859" s="177"/>
      <c r="O859" s="177"/>
      <c r="P859" s="177"/>
      <c r="Q859" s="177"/>
      <c r="R859" s="177"/>
      <c r="S859" s="177"/>
      <c r="T859" s="177"/>
      <c r="U859" s="177"/>
      <c r="V859" s="177"/>
      <c r="W859" s="177"/>
      <c r="X859" s="177"/>
      <c r="Y859" s="177"/>
      <c r="Z859" s="177"/>
      <c r="AA859" s="177"/>
      <c r="AB859" s="177"/>
      <c r="AC859" s="177"/>
      <c r="AD859" s="177"/>
      <c r="AE859" s="177"/>
    </row>
    <row r="860" spans="1:31" ht="13.5" thickBot="1">
      <c r="A860" s="202"/>
      <c r="B860" s="202"/>
      <c r="C860" s="202"/>
      <c r="D860" s="202"/>
      <c r="E860" s="202"/>
      <c r="F860" s="202"/>
      <c r="G860" s="202"/>
      <c r="H860" s="177"/>
      <c r="I860" s="177"/>
      <c r="J860" s="177"/>
      <c r="K860" s="177"/>
      <c r="L860" s="177"/>
      <c r="M860" s="177"/>
      <c r="N860" s="177"/>
      <c r="O860" s="177"/>
      <c r="P860" s="177"/>
      <c r="Q860" s="177"/>
      <c r="R860" s="177"/>
      <c r="S860" s="177"/>
      <c r="T860" s="177"/>
      <c r="U860" s="177"/>
      <c r="V860" s="177"/>
      <c r="W860" s="177"/>
      <c r="X860" s="177"/>
      <c r="Y860" s="177"/>
      <c r="Z860" s="177"/>
      <c r="AA860" s="177"/>
      <c r="AB860" s="177"/>
      <c r="AC860" s="177"/>
      <c r="AD860" s="177"/>
      <c r="AE860" s="177"/>
    </row>
    <row r="861" spans="1:31" ht="13.5" thickBot="1">
      <c r="A861" s="202"/>
      <c r="B861" s="202"/>
      <c r="C861" s="202"/>
      <c r="D861" s="202"/>
      <c r="E861" s="202"/>
      <c r="F861" s="202"/>
      <c r="G861" s="202"/>
      <c r="H861" s="177"/>
      <c r="I861" s="177"/>
      <c r="J861" s="177"/>
      <c r="K861" s="177"/>
      <c r="L861" s="177"/>
      <c r="M861" s="177"/>
      <c r="N861" s="177"/>
      <c r="O861" s="177"/>
      <c r="P861" s="177"/>
      <c r="Q861" s="177"/>
      <c r="R861" s="177"/>
      <c r="S861" s="177"/>
      <c r="T861" s="177"/>
      <c r="U861" s="177"/>
      <c r="V861" s="177"/>
      <c r="W861" s="177"/>
      <c r="X861" s="177"/>
      <c r="Y861" s="177"/>
      <c r="Z861" s="177"/>
      <c r="AA861" s="177"/>
      <c r="AB861" s="177"/>
      <c r="AC861" s="177"/>
      <c r="AD861" s="177"/>
      <c r="AE861" s="177"/>
    </row>
    <row r="862" spans="1:31" ht="13.5" thickBot="1">
      <c r="A862" s="202"/>
      <c r="B862" s="202"/>
      <c r="C862" s="202"/>
      <c r="D862" s="202"/>
      <c r="E862" s="202"/>
      <c r="F862" s="202"/>
      <c r="G862" s="202"/>
      <c r="H862" s="177"/>
      <c r="I862" s="177"/>
      <c r="J862" s="177"/>
      <c r="K862" s="177"/>
      <c r="L862" s="177"/>
      <c r="M862" s="177"/>
      <c r="N862" s="177"/>
      <c r="O862" s="177"/>
      <c r="P862" s="177"/>
      <c r="Q862" s="177"/>
      <c r="R862" s="177"/>
      <c r="S862" s="177"/>
      <c r="T862" s="177"/>
      <c r="U862" s="177"/>
      <c r="V862" s="177"/>
      <c r="W862" s="177"/>
      <c r="X862" s="177"/>
      <c r="Y862" s="177"/>
      <c r="Z862" s="177"/>
      <c r="AA862" s="177"/>
      <c r="AB862" s="177"/>
      <c r="AC862" s="177"/>
      <c r="AD862" s="177"/>
      <c r="AE862" s="177"/>
    </row>
    <row r="863" spans="1:31" ht="13.5" thickBot="1">
      <c r="A863" s="202"/>
      <c r="B863" s="202"/>
      <c r="C863" s="202"/>
      <c r="D863" s="202"/>
      <c r="E863" s="202"/>
      <c r="F863" s="202"/>
      <c r="G863" s="202"/>
      <c r="H863" s="177"/>
      <c r="I863" s="177"/>
      <c r="J863" s="177"/>
      <c r="K863" s="177"/>
      <c r="L863" s="177"/>
      <c r="M863" s="177"/>
      <c r="N863" s="177"/>
      <c r="O863" s="177"/>
      <c r="P863" s="177"/>
      <c r="Q863" s="177"/>
      <c r="R863" s="177"/>
      <c r="S863" s="177"/>
      <c r="T863" s="177"/>
      <c r="U863" s="177"/>
      <c r="V863" s="177"/>
      <c r="W863" s="177"/>
      <c r="X863" s="177"/>
      <c r="Y863" s="177"/>
      <c r="Z863" s="177"/>
      <c r="AA863" s="177"/>
      <c r="AB863" s="177"/>
      <c r="AC863" s="177"/>
      <c r="AD863" s="177"/>
      <c r="AE863" s="177"/>
    </row>
    <row r="864" spans="1:31" ht="13.5" thickBot="1">
      <c r="A864" s="202"/>
      <c r="B864" s="202"/>
      <c r="C864" s="202"/>
      <c r="D864" s="202"/>
      <c r="E864" s="202"/>
      <c r="F864" s="202"/>
      <c r="G864" s="202"/>
      <c r="H864" s="177"/>
      <c r="I864" s="177"/>
      <c r="J864" s="177"/>
      <c r="K864" s="177"/>
      <c r="L864" s="177"/>
      <c r="M864" s="177"/>
      <c r="N864" s="177"/>
      <c r="O864" s="177"/>
      <c r="P864" s="177"/>
      <c r="Q864" s="177"/>
      <c r="R864" s="177"/>
      <c r="S864" s="177"/>
      <c r="T864" s="177"/>
      <c r="U864" s="177"/>
      <c r="V864" s="177"/>
      <c r="W864" s="177"/>
      <c r="X864" s="177"/>
      <c r="Y864" s="177"/>
      <c r="Z864" s="177"/>
      <c r="AA864" s="177"/>
      <c r="AB864" s="177"/>
      <c r="AC864" s="177"/>
      <c r="AD864" s="177"/>
      <c r="AE864" s="177"/>
    </row>
    <row r="865" spans="1:31" ht="13.5" thickBot="1">
      <c r="A865" s="202"/>
      <c r="B865" s="202"/>
      <c r="C865" s="202"/>
      <c r="D865" s="202"/>
      <c r="E865" s="202"/>
      <c r="F865" s="202"/>
      <c r="G865" s="202"/>
      <c r="H865" s="177"/>
      <c r="I865" s="177"/>
      <c r="J865" s="177"/>
      <c r="K865" s="177"/>
      <c r="L865" s="177"/>
      <c r="M865" s="177"/>
      <c r="N865" s="177"/>
      <c r="O865" s="177"/>
      <c r="P865" s="177"/>
      <c r="Q865" s="177"/>
      <c r="R865" s="177"/>
      <c r="S865" s="177"/>
      <c r="T865" s="177"/>
      <c r="U865" s="177"/>
      <c r="V865" s="177"/>
      <c r="W865" s="177"/>
      <c r="X865" s="177"/>
      <c r="Y865" s="177"/>
      <c r="Z865" s="177"/>
      <c r="AA865" s="177"/>
      <c r="AB865" s="177"/>
      <c r="AC865" s="177"/>
      <c r="AD865" s="177"/>
      <c r="AE865" s="177"/>
    </row>
    <row r="866" spans="1:31" ht="13.5" thickBot="1">
      <c r="A866" s="202"/>
      <c r="B866" s="202"/>
      <c r="C866" s="202"/>
      <c r="D866" s="202"/>
      <c r="E866" s="202"/>
      <c r="F866" s="202"/>
      <c r="G866" s="202"/>
      <c r="H866" s="177"/>
      <c r="I866" s="177"/>
      <c r="J866" s="177"/>
      <c r="K866" s="177"/>
      <c r="L866" s="177"/>
      <c r="M866" s="177"/>
      <c r="N866" s="177"/>
      <c r="O866" s="177"/>
      <c r="P866" s="177"/>
      <c r="Q866" s="177"/>
      <c r="R866" s="177"/>
      <c r="S866" s="177"/>
      <c r="T866" s="177"/>
      <c r="U866" s="177"/>
      <c r="V866" s="177"/>
      <c r="W866" s="177"/>
      <c r="X866" s="177"/>
      <c r="Y866" s="177"/>
      <c r="Z866" s="177"/>
      <c r="AA866" s="177"/>
      <c r="AB866" s="177"/>
      <c r="AC866" s="177"/>
      <c r="AD866" s="177"/>
      <c r="AE866" s="177"/>
    </row>
    <row r="867" spans="1:31" ht="13.5" thickBot="1">
      <c r="A867" s="202"/>
      <c r="B867" s="202"/>
      <c r="C867" s="202"/>
      <c r="D867" s="202"/>
      <c r="E867" s="202"/>
      <c r="F867" s="202"/>
      <c r="G867" s="202"/>
      <c r="H867" s="177"/>
      <c r="I867" s="177"/>
      <c r="J867" s="177"/>
      <c r="K867" s="177"/>
      <c r="L867" s="177"/>
      <c r="M867" s="177"/>
      <c r="N867" s="177"/>
      <c r="O867" s="177"/>
      <c r="P867" s="177"/>
      <c r="Q867" s="177"/>
      <c r="R867" s="177"/>
      <c r="S867" s="177"/>
      <c r="T867" s="177"/>
      <c r="U867" s="177"/>
      <c r="V867" s="177"/>
      <c r="W867" s="177"/>
      <c r="X867" s="177"/>
      <c r="Y867" s="177"/>
      <c r="Z867" s="177"/>
      <c r="AA867" s="177"/>
      <c r="AB867" s="177"/>
      <c r="AC867" s="177"/>
      <c r="AD867" s="177"/>
      <c r="AE867" s="177"/>
    </row>
    <row r="868" spans="1:31" ht="13.5" thickBot="1">
      <c r="A868" s="202"/>
      <c r="B868" s="202"/>
      <c r="C868" s="202"/>
      <c r="D868" s="202"/>
      <c r="E868" s="202"/>
      <c r="F868" s="202"/>
      <c r="G868" s="202"/>
      <c r="H868" s="177"/>
      <c r="I868" s="177"/>
      <c r="J868" s="177"/>
      <c r="K868" s="177"/>
      <c r="L868" s="177"/>
      <c r="M868" s="177"/>
      <c r="N868" s="177"/>
      <c r="O868" s="177"/>
      <c r="P868" s="177"/>
      <c r="Q868" s="177"/>
      <c r="R868" s="177"/>
      <c r="S868" s="177"/>
      <c r="T868" s="177"/>
      <c r="U868" s="177"/>
      <c r="V868" s="177"/>
      <c r="W868" s="177"/>
      <c r="X868" s="177"/>
      <c r="Y868" s="177"/>
      <c r="Z868" s="177"/>
      <c r="AA868" s="177"/>
      <c r="AB868" s="177"/>
      <c r="AC868" s="177"/>
      <c r="AD868" s="177"/>
      <c r="AE868" s="177"/>
    </row>
    <row r="869" spans="1:31" ht="13.5" thickBot="1">
      <c r="A869" s="202"/>
      <c r="B869" s="202"/>
      <c r="C869" s="202"/>
      <c r="D869" s="202"/>
      <c r="E869" s="202"/>
      <c r="F869" s="202"/>
      <c r="G869" s="202"/>
      <c r="H869" s="177"/>
      <c r="I869" s="177"/>
      <c r="J869" s="177"/>
      <c r="K869" s="177"/>
      <c r="L869" s="177"/>
      <c r="M869" s="177"/>
      <c r="N869" s="177"/>
      <c r="O869" s="177"/>
      <c r="P869" s="177"/>
      <c r="Q869" s="177"/>
      <c r="R869" s="177"/>
      <c r="S869" s="177"/>
      <c r="T869" s="177"/>
      <c r="U869" s="177"/>
      <c r="V869" s="177"/>
      <c r="W869" s="177"/>
      <c r="X869" s="177"/>
      <c r="Y869" s="177"/>
      <c r="Z869" s="177"/>
      <c r="AA869" s="177"/>
      <c r="AB869" s="177"/>
      <c r="AC869" s="177"/>
      <c r="AD869" s="177"/>
      <c r="AE869" s="177"/>
    </row>
    <row r="870" spans="1:31" ht="13.5" thickBot="1">
      <c r="A870" s="202"/>
      <c r="B870" s="202"/>
      <c r="C870" s="202"/>
      <c r="D870" s="202"/>
      <c r="E870" s="202"/>
      <c r="F870" s="202"/>
      <c r="G870" s="202"/>
      <c r="H870" s="177"/>
      <c r="I870" s="177"/>
      <c r="J870" s="177"/>
      <c r="K870" s="177"/>
      <c r="L870" s="177"/>
      <c r="M870" s="177"/>
      <c r="N870" s="177"/>
      <c r="O870" s="177"/>
      <c r="P870" s="177"/>
      <c r="Q870" s="177"/>
      <c r="R870" s="177"/>
      <c r="S870" s="177"/>
      <c r="T870" s="177"/>
      <c r="U870" s="177"/>
      <c r="V870" s="177"/>
      <c r="W870" s="177"/>
      <c r="X870" s="177"/>
      <c r="Y870" s="177"/>
      <c r="Z870" s="177"/>
      <c r="AA870" s="177"/>
      <c r="AB870" s="177"/>
      <c r="AC870" s="177"/>
      <c r="AD870" s="177"/>
      <c r="AE870" s="177"/>
    </row>
    <row r="871" spans="1:31" ht="13.5" thickBot="1">
      <c r="A871" s="202"/>
      <c r="B871" s="202"/>
      <c r="C871" s="202"/>
      <c r="D871" s="202"/>
      <c r="E871" s="202"/>
      <c r="F871" s="202"/>
      <c r="G871" s="202"/>
      <c r="H871" s="177"/>
      <c r="I871" s="177"/>
      <c r="J871" s="177"/>
      <c r="K871" s="177"/>
      <c r="L871" s="177"/>
      <c r="M871" s="177"/>
      <c r="N871" s="177"/>
      <c r="O871" s="177"/>
      <c r="P871" s="177"/>
      <c r="Q871" s="177"/>
      <c r="R871" s="177"/>
      <c r="S871" s="177"/>
      <c r="T871" s="177"/>
      <c r="U871" s="177"/>
      <c r="V871" s="177"/>
      <c r="W871" s="177"/>
      <c r="X871" s="177"/>
      <c r="Y871" s="177"/>
      <c r="Z871" s="177"/>
      <c r="AA871" s="177"/>
      <c r="AB871" s="177"/>
      <c r="AC871" s="177"/>
      <c r="AD871" s="177"/>
      <c r="AE871" s="177"/>
    </row>
    <row r="872" spans="1:31" ht="13.5" thickBot="1">
      <c r="A872" s="202"/>
      <c r="B872" s="202"/>
      <c r="C872" s="202"/>
      <c r="D872" s="202"/>
      <c r="E872" s="202"/>
      <c r="F872" s="202"/>
      <c r="G872" s="202"/>
      <c r="H872" s="177"/>
      <c r="I872" s="177"/>
      <c r="J872" s="177"/>
      <c r="K872" s="177"/>
      <c r="L872" s="177"/>
      <c r="M872" s="177"/>
      <c r="N872" s="177"/>
      <c r="O872" s="177"/>
      <c r="P872" s="177"/>
      <c r="Q872" s="177"/>
      <c r="R872" s="177"/>
      <c r="S872" s="177"/>
      <c r="T872" s="177"/>
      <c r="U872" s="177"/>
      <c r="V872" s="177"/>
      <c r="W872" s="177"/>
      <c r="X872" s="177"/>
      <c r="Y872" s="177"/>
      <c r="Z872" s="177"/>
      <c r="AA872" s="177"/>
      <c r="AB872" s="177"/>
      <c r="AC872" s="177"/>
      <c r="AD872" s="177"/>
      <c r="AE872" s="177"/>
    </row>
    <row r="873" spans="1:31" ht="13.5" thickBot="1">
      <c r="A873" s="202"/>
      <c r="B873" s="202"/>
      <c r="C873" s="202"/>
      <c r="D873" s="202"/>
      <c r="E873" s="202"/>
      <c r="F873" s="202"/>
      <c r="G873" s="202"/>
      <c r="H873" s="177"/>
      <c r="I873" s="177"/>
      <c r="J873" s="177"/>
      <c r="K873" s="177"/>
      <c r="L873" s="177"/>
      <c r="M873" s="177"/>
      <c r="N873" s="177"/>
      <c r="O873" s="177"/>
      <c r="P873" s="177"/>
      <c r="Q873" s="177"/>
      <c r="R873" s="177"/>
      <c r="S873" s="177"/>
      <c r="T873" s="177"/>
      <c r="U873" s="177"/>
      <c r="V873" s="177"/>
      <c r="W873" s="177"/>
      <c r="X873" s="177"/>
      <c r="Y873" s="177"/>
      <c r="Z873" s="177"/>
      <c r="AA873" s="177"/>
      <c r="AB873" s="177"/>
      <c r="AC873" s="177"/>
      <c r="AD873" s="177"/>
      <c r="AE873" s="177"/>
    </row>
    <row r="874" spans="1:31" ht="13.5" thickBot="1">
      <c r="A874" s="202"/>
      <c r="B874" s="202"/>
      <c r="C874" s="202"/>
      <c r="D874" s="202"/>
      <c r="E874" s="202"/>
      <c r="F874" s="202"/>
      <c r="G874" s="202"/>
      <c r="H874" s="177"/>
      <c r="I874" s="177"/>
      <c r="J874" s="177"/>
      <c r="K874" s="177"/>
      <c r="L874" s="177"/>
      <c r="M874" s="177"/>
      <c r="N874" s="177"/>
      <c r="O874" s="177"/>
      <c r="P874" s="177"/>
      <c r="Q874" s="177"/>
      <c r="R874" s="177"/>
      <c r="S874" s="177"/>
      <c r="T874" s="177"/>
      <c r="U874" s="177"/>
      <c r="V874" s="177"/>
      <c r="W874" s="177"/>
      <c r="X874" s="177"/>
      <c r="Y874" s="177"/>
      <c r="Z874" s="177"/>
      <c r="AA874" s="177"/>
      <c r="AB874" s="177"/>
      <c r="AC874" s="177"/>
      <c r="AD874" s="177"/>
      <c r="AE874" s="177"/>
    </row>
    <row r="875" spans="1:31" ht="13.5" thickBot="1">
      <c r="A875" s="202"/>
      <c r="B875" s="202"/>
      <c r="C875" s="202"/>
      <c r="D875" s="202"/>
      <c r="E875" s="202"/>
      <c r="F875" s="202"/>
      <c r="G875" s="202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</row>
    <row r="876" spans="1:31" ht="13.5" thickBot="1">
      <c r="A876" s="202"/>
      <c r="B876" s="202"/>
      <c r="C876" s="202"/>
      <c r="D876" s="202"/>
      <c r="E876" s="202"/>
      <c r="F876" s="202"/>
      <c r="G876" s="202"/>
      <c r="H876" s="177"/>
      <c r="I876" s="177"/>
      <c r="J876" s="177"/>
      <c r="K876" s="177"/>
      <c r="L876" s="177"/>
      <c r="M876" s="177"/>
      <c r="N876" s="177"/>
      <c r="O876" s="177"/>
      <c r="P876" s="177"/>
      <c r="Q876" s="177"/>
      <c r="R876" s="177"/>
      <c r="S876" s="177"/>
      <c r="T876" s="177"/>
      <c r="U876" s="177"/>
      <c r="V876" s="177"/>
      <c r="W876" s="177"/>
      <c r="X876" s="177"/>
      <c r="Y876" s="177"/>
      <c r="Z876" s="177"/>
      <c r="AA876" s="177"/>
      <c r="AB876" s="177"/>
      <c r="AC876" s="177"/>
      <c r="AD876" s="177"/>
      <c r="AE876" s="177"/>
    </row>
    <row r="877" spans="1:31" ht="13.5" thickBot="1">
      <c r="A877" s="202"/>
      <c r="B877" s="202"/>
      <c r="C877" s="202"/>
      <c r="D877" s="202"/>
      <c r="E877" s="202"/>
      <c r="F877" s="202"/>
      <c r="G877" s="202"/>
      <c r="H877" s="177"/>
      <c r="I877" s="177"/>
      <c r="J877" s="177"/>
      <c r="K877" s="177"/>
      <c r="L877" s="177"/>
      <c r="M877" s="177"/>
      <c r="N877" s="177"/>
      <c r="O877" s="177"/>
      <c r="P877" s="177"/>
      <c r="Q877" s="177"/>
      <c r="R877" s="177"/>
      <c r="S877" s="177"/>
      <c r="T877" s="177"/>
      <c r="U877" s="177"/>
      <c r="V877" s="177"/>
      <c r="W877" s="177"/>
      <c r="X877" s="177"/>
      <c r="Y877" s="177"/>
      <c r="Z877" s="177"/>
      <c r="AA877" s="177"/>
      <c r="AB877" s="177"/>
      <c r="AC877" s="177"/>
      <c r="AD877" s="177"/>
      <c r="AE877" s="177"/>
    </row>
    <row r="878" spans="1:31" ht="13.5" thickBot="1">
      <c r="A878" s="202"/>
      <c r="B878" s="202"/>
      <c r="C878" s="202"/>
      <c r="D878" s="202"/>
      <c r="E878" s="202"/>
      <c r="F878" s="202"/>
      <c r="G878" s="202"/>
      <c r="H878" s="177"/>
      <c r="I878" s="177"/>
      <c r="J878" s="177"/>
      <c r="K878" s="177"/>
      <c r="L878" s="177"/>
      <c r="M878" s="177"/>
      <c r="N878" s="177"/>
      <c r="O878" s="177"/>
      <c r="P878" s="177"/>
      <c r="Q878" s="177"/>
      <c r="R878" s="177"/>
      <c r="S878" s="177"/>
      <c r="T878" s="177"/>
      <c r="U878" s="177"/>
      <c r="V878" s="177"/>
      <c r="W878" s="177"/>
      <c r="X878" s="177"/>
      <c r="Y878" s="177"/>
      <c r="Z878" s="177"/>
      <c r="AA878" s="177"/>
      <c r="AB878" s="177"/>
      <c r="AC878" s="177"/>
      <c r="AD878" s="177"/>
      <c r="AE878" s="177"/>
    </row>
    <row r="879" spans="1:31" ht="13.5" thickBot="1">
      <c r="A879" s="202"/>
      <c r="B879" s="202"/>
      <c r="C879" s="202"/>
      <c r="D879" s="202"/>
      <c r="E879" s="202"/>
      <c r="F879" s="202"/>
      <c r="G879" s="202"/>
      <c r="H879" s="177"/>
      <c r="I879" s="177"/>
      <c r="J879" s="177"/>
      <c r="K879" s="177"/>
      <c r="L879" s="177"/>
      <c r="M879" s="177"/>
      <c r="N879" s="177"/>
      <c r="O879" s="177"/>
      <c r="P879" s="177"/>
      <c r="Q879" s="177"/>
      <c r="R879" s="177"/>
      <c r="S879" s="177"/>
      <c r="T879" s="177"/>
      <c r="U879" s="177"/>
      <c r="V879" s="177"/>
      <c r="W879" s="177"/>
      <c r="X879" s="177"/>
      <c r="Y879" s="177"/>
      <c r="Z879" s="177"/>
      <c r="AA879" s="177"/>
      <c r="AB879" s="177"/>
      <c r="AC879" s="177"/>
      <c r="AD879" s="177"/>
      <c r="AE879" s="177"/>
    </row>
    <row r="880" spans="1:31" ht="13.5" thickBot="1">
      <c r="A880" s="202"/>
      <c r="B880" s="202"/>
      <c r="C880" s="202"/>
      <c r="D880" s="202"/>
      <c r="E880" s="202"/>
      <c r="F880" s="202"/>
      <c r="G880" s="202"/>
      <c r="H880" s="177"/>
      <c r="I880" s="177"/>
      <c r="J880" s="177"/>
      <c r="K880" s="177"/>
      <c r="L880" s="177"/>
      <c r="M880" s="177"/>
      <c r="N880" s="177"/>
      <c r="O880" s="177"/>
      <c r="P880" s="177"/>
      <c r="Q880" s="177"/>
      <c r="R880" s="177"/>
      <c r="S880" s="177"/>
      <c r="T880" s="177"/>
      <c r="U880" s="177"/>
      <c r="V880" s="177"/>
      <c r="W880" s="177"/>
      <c r="X880" s="177"/>
      <c r="Y880" s="177"/>
      <c r="Z880" s="177"/>
      <c r="AA880" s="177"/>
      <c r="AB880" s="177"/>
      <c r="AC880" s="177"/>
      <c r="AD880" s="177"/>
      <c r="AE880" s="177"/>
    </row>
    <row r="881" spans="1:31" ht="13.5" thickBot="1">
      <c r="A881" s="202"/>
      <c r="B881" s="202"/>
      <c r="C881" s="202"/>
      <c r="D881" s="202"/>
      <c r="E881" s="202"/>
      <c r="F881" s="202"/>
      <c r="G881" s="202"/>
      <c r="H881" s="177"/>
      <c r="I881" s="177"/>
      <c r="J881" s="177"/>
      <c r="K881" s="177"/>
      <c r="L881" s="177"/>
      <c r="M881" s="177"/>
      <c r="N881" s="177"/>
      <c r="O881" s="177"/>
      <c r="P881" s="177"/>
      <c r="Q881" s="177"/>
      <c r="R881" s="177"/>
      <c r="S881" s="177"/>
      <c r="T881" s="177"/>
      <c r="U881" s="177"/>
      <c r="V881" s="177"/>
      <c r="W881" s="177"/>
      <c r="X881" s="177"/>
      <c r="Y881" s="177"/>
      <c r="Z881" s="177"/>
      <c r="AA881" s="177"/>
      <c r="AB881" s="177"/>
      <c r="AC881" s="177"/>
      <c r="AD881" s="177"/>
      <c r="AE881" s="177"/>
    </row>
    <row r="882" spans="1:31" ht="13.5" thickBot="1">
      <c r="A882" s="202"/>
      <c r="B882" s="202"/>
      <c r="C882" s="202"/>
      <c r="D882" s="202"/>
      <c r="E882" s="202"/>
      <c r="F882" s="202"/>
      <c r="G882" s="202"/>
      <c r="H882" s="177"/>
      <c r="I882" s="177"/>
      <c r="J882" s="177"/>
      <c r="K882" s="177"/>
      <c r="L882" s="177"/>
      <c r="M882" s="177"/>
      <c r="N882" s="177"/>
      <c r="O882" s="177"/>
      <c r="P882" s="177"/>
      <c r="Q882" s="177"/>
      <c r="R882" s="177"/>
      <c r="S882" s="177"/>
      <c r="T882" s="177"/>
      <c r="U882" s="177"/>
      <c r="V882" s="177"/>
      <c r="W882" s="177"/>
      <c r="X882" s="177"/>
      <c r="Y882" s="177"/>
      <c r="Z882" s="177"/>
      <c r="AA882" s="177"/>
      <c r="AB882" s="177"/>
      <c r="AC882" s="177"/>
      <c r="AD882" s="177"/>
      <c r="AE882" s="177"/>
    </row>
    <row r="883" spans="1:31" ht="13.5" thickBot="1">
      <c r="A883" s="202"/>
      <c r="B883" s="202"/>
      <c r="C883" s="202"/>
      <c r="D883" s="202"/>
      <c r="E883" s="202"/>
      <c r="F883" s="202"/>
      <c r="G883" s="202"/>
      <c r="H883" s="177"/>
      <c r="I883" s="177"/>
      <c r="J883" s="177"/>
      <c r="K883" s="177"/>
      <c r="L883" s="177"/>
      <c r="M883" s="177"/>
      <c r="N883" s="177"/>
      <c r="O883" s="177"/>
      <c r="P883" s="177"/>
      <c r="Q883" s="177"/>
      <c r="R883" s="177"/>
      <c r="S883" s="177"/>
      <c r="T883" s="177"/>
      <c r="U883" s="177"/>
      <c r="V883" s="177"/>
      <c r="W883" s="177"/>
      <c r="X883" s="177"/>
      <c r="Y883" s="177"/>
      <c r="Z883" s="177"/>
      <c r="AA883" s="177"/>
      <c r="AB883" s="177"/>
      <c r="AC883" s="177"/>
      <c r="AD883" s="177"/>
      <c r="AE883" s="177"/>
    </row>
    <row r="884" spans="1:31" ht="13.5" thickBot="1">
      <c r="A884" s="202"/>
      <c r="B884" s="202"/>
      <c r="C884" s="202"/>
      <c r="D884" s="202"/>
      <c r="E884" s="202"/>
      <c r="F884" s="202"/>
      <c r="G884" s="202"/>
      <c r="H884" s="177"/>
      <c r="I884" s="177"/>
      <c r="J884" s="177"/>
      <c r="K884" s="177"/>
      <c r="L884" s="177"/>
      <c r="M884" s="177"/>
      <c r="N884" s="177"/>
      <c r="O884" s="177"/>
      <c r="P884" s="177"/>
      <c r="Q884" s="177"/>
      <c r="R884" s="177"/>
      <c r="S884" s="177"/>
      <c r="T884" s="177"/>
      <c r="U884" s="177"/>
      <c r="V884" s="177"/>
      <c r="W884" s="177"/>
      <c r="X884" s="177"/>
      <c r="Y884" s="177"/>
      <c r="Z884" s="177"/>
      <c r="AA884" s="177"/>
      <c r="AB884" s="177"/>
      <c r="AC884" s="177"/>
      <c r="AD884" s="177"/>
      <c r="AE884" s="177"/>
    </row>
    <row r="885" spans="1:31" ht="13.5" thickBot="1">
      <c r="A885" s="202"/>
      <c r="B885" s="202"/>
      <c r="C885" s="202"/>
      <c r="D885" s="202"/>
      <c r="E885" s="202"/>
      <c r="F885" s="202"/>
      <c r="G885" s="202"/>
      <c r="H885" s="177"/>
      <c r="I885" s="177"/>
      <c r="J885" s="177"/>
      <c r="K885" s="177"/>
      <c r="L885" s="177"/>
      <c r="M885" s="177"/>
      <c r="N885" s="177"/>
      <c r="O885" s="177"/>
      <c r="P885" s="177"/>
      <c r="Q885" s="177"/>
      <c r="R885" s="177"/>
      <c r="S885" s="177"/>
      <c r="T885" s="177"/>
      <c r="U885" s="177"/>
      <c r="V885" s="177"/>
      <c r="W885" s="177"/>
      <c r="X885" s="177"/>
      <c r="Y885" s="177"/>
      <c r="Z885" s="177"/>
      <c r="AA885" s="177"/>
      <c r="AB885" s="177"/>
      <c r="AC885" s="177"/>
      <c r="AD885" s="177"/>
      <c r="AE885" s="177"/>
    </row>
    <row r="886" spans="1:31" ht="13.5" thickBot="1">
      <c r="A886" s="202"/>
      <c r="B886" s="202"/>
      <c r="C886" s="202"/>
      <c r="D886" s="202"/>
      <c r="E886" s="202"/>
      <c r="F886" s="202"/>
      <c r="G886" s="202"/>
      <c r="H886" s="177"/>
      <c r="I886" s="177"/>
      <c r="J886" s="177"/>
      <c r="K886" s="177"/>
      <c r="L886" s="177"/>
      <c r="M886" s="177"/>
      <c r="N886" s="177"/>
      <c r="O886" s="177"/>
      <c r="P886" s="177"/>
      <c r="Q886" s="177"/>
      <c r="R886" s="177"/>
      <c r="S886" s="177"/>
      <c r="T886" s="177"/>
      <c r="U886" s="177"/>
      <c r="V886" s="177"/>
      <c r="W886" s="177"/>
      <c r="X886" s="177"/>
      <c r="Y886" s="177"/>
      <c r="Z886" s="177"/>
      <c r="AA886" s="177"/>
      <c r="AB886" s="177"/>
      <c r="AC886" s="177"/>
      <c r="AD886" s="177"/>
      <c r="AE886" s="177"/>
    </row>
    <row r="887" spans="1:31" ht="13.5" thickBot="1">
      <c r="A887" s="202"/>
      <c r="B887" s="202"/>
      <c r="C887" s="202"/>
      <c r="D887" s="202"/>
      <c r="E887" s="202"/>
      <c r="F887" s="202"/>
      <c r="G887" s="202"/>
      <c r="H887" s="177"/>
      <c r="I887" s="177"/>
      <c r="J887" s="177"/>
      <c r="K887" s="177"/>
      <c r="L887" s="177"/>
      <c r="M887" s="177"/>
      <c r="N887" s="177"/>
      <c r="O887" s="177"/>
      <c r="P887" s="177"/>
      <c r="Q887" s="177"/>
      <c r="R887" s="177"/>
      <c r="S887" s="177"/>
      <c r="T887" s="177"/>
      <c r="U887" s="177"/>
      <c r="V887" s="177"/>
      <c r="W887" s="177"/>
      <c r="X887" s="177"/>
      <c r="Y887" s="177"/>
      <c r="Z887" s="177"/>
      <c r="AA887" s="177"/>
      <c r="AB887" s="177"/>
      <c r="AC887" s="177"/>
      <c r="AD887" s="177"/>
      <c r="AE887" s="177"/>
    </row>
    <row r="888" spans="1:31" ht="13.5" thickBot="1">
      <c r="A888" s="202"/>
      <c r="B888" s="202"/>
      <c r="C888" s="202"/>
      <c r="D888" s="202"/>
      <c r="E888" s="202"/>
      <c r="F888" s="202"/>
      <c r="G888" s="202"/>
      <c r="H888" s="177"/>
      <c r="I888" s="177"/>
      <c r="J888" s="177"/>
      <c r="K888" s="177"/>
      <c r="L888" s="177"/>
      <c r="M888" s="177"/>
      <c r="N888" s="177"/>
      <c r="O888" s="177"/>
      <c r="P888" s="177"/>
      <c r="Q888" s="177"/>
      <c r="R888" s="177"/>
      <c r="S888" s="177"/>
      <c r="T888" s="177"/>
      <c r="U888" s="177"/>
      <c r="V888" s="177"/>
      <c r="W888" s="177"/>
      <c r="X888" s="177"/>
      <c r="Y888" s="177"/>
      <c r="Z888" s="177"/>
      <c r="AA888" s="177"/>
      <c r="AB888" s="177"/>
      <c r="AC888" s="177"/>
      <c r="AD888" s="177"/>
      <c r="AE888" s="177"/>
    </row>
    <row r="889" spans="1:31" ht="13.5" thickBot="1">
      <c r="A889" s="202"/>
      <c r="B889" s="202"/>
      <c r="C889" s="202"/>
      <c r="D889" s="202"/>
      <c r="E889" s="202"/>
      <c r="F889" s="202"/>
      <c r="G889" s="202"/>
      <c r="H889" s="177"/>
      <c r="I889" s="177"/>
      <c r="J889" s="177"/>
      <c r="K889" s="177"/>
      <c r="L889" s="177"/>
      <c r="M889" s="177"/>
      <c r="N889" s="177"/>
      <c r="O889" s="177"/>
      <c r="P889" s="177"/>
      <c r="Q889" s="177"/>
      <c r="R889" s="177"/>
      <c r="S889" s="177"/>
      <c r="T889" s="177"/>
      <c r="U889" s="177"/>
      <c r="V889" s="177"/>
      <c r="W889" s="177"/>
      <c r="X889" s="177"/>
      <c r="Y889" s="177"/>
      <c r="Z889" s="177"/>
      <c r="AA889" s="177"/>
      <c r="AB889" s="177"/>
      <c r="AC889" s="177"/>
      <c r="AD889" s="177"/>
      <c r="AE889" s="177"/>
    </row>
    <row r="890" spans="1:31" ht="13.5" thickBot="1">
      <c r="A890" s="202"/>
      <c r="B890" s="202"/>
      <c r="C890" s="202"/>
      <c r="D890" s="202"/>
      <c r="E890" s="202"/>
      <c r="F890" s="202"/>
      <c r="G890" s="202"/>
      <c r="H890" s="177"/>
      <c r="I890" s="177"/>
      <c r="J890" s="177"/>
      <c r="K890" s="177"/>
      <c r="L890" s="177"/>
      <c r="M890" s="177"/>
      <c r="N890" s="177"/>
      <c r="O890" s="177"/>
      <c r="P890" s="177"/>
      <c r="Q890" s="177"/>
      <c r="R890" s="177"/>
      <c r="S890" s="177"/>
      <c r="T890" s="177"/>
      <c r="U890" s="177"/>
      <c r="V890" s="177"/>
      <c r="W890" s="177"/>
      <c r="X890" s="177"/>
      <c r="Y890" s="177"/>
      <c r="Z890" s="177"/>
      <c r="AA890" s="177"/>
      <c r="AB890" s="177"/>
      <c r="AC890" s="177"/>
      <c r="AD890" s="177"/>
      <c r="AE890" s="177"/>
    </row>
    <row r="891" spans="1:31" ht="13.5" thickBot="1">
      <c r="A891" s="202"/>
      <c r="B891" s="202"/>
      <c r="C891" s="202"/>
      <c r="D891" s="202"/>
      <c r="E891" s="202"/>
      <c r="F891" s="202"/>
      <c r="G891" s="202"/>
      <c r="H891" s="177"/>
      <c r="I891" s="177"/>
      <c r="J891" s="177"/>
      <c r="K891" s="177"/>
      <c r="L891" s="177"/>
      <c r="M891" s="177"/>
      <c r="N891" s="177"/>
      <c r="O891" s="177"/>
      <c r="P891" s="177"/>
      <c r="Q891" s="177"/>
      <c r="R891" s="177"/>
      <c r="S891" s="177"/>
      <c r="T891" s="177"/>
      <c r="U891" s="177"/>
      <c r="V891" s="177"/>
      <c r="W891" s="177"/>
      <c r="X891" s="177"/>
      <c r="Y891" s="177"/>
      <c r="Z891" s="177"/>
      <c r="AA891" s="177"/>
      <c r="AB891" s="177"/>
      <c r="AC891" s="177"/>
      <c r="AD891" s="177"/>
      <c r="AE891" s="177"/>
    </row>
    <row r="892" spans="1:31" ht="13.5" thickBot="1">
      <c r="A892" s="202"/>
      <c r="B892" s="202"/>
      <c r="C892" s="202"/>
      <c r="D892" s="202"/>
      <c r="E892" s="202"/>
      <c r="F892" s="202"/>
      <c r="G892" s="202"/>
      <c r="H892" s="177"/>
      <c r="I892" s="177"/>
      <c r="J892" s="177"/>
      <c r="K892" s="177"/>
      <c r="L892" s="177"/>
      <c r="M892" s="177"/>
      <c r="N892" s="177"/>
      <c r="O892" s="177"/>
      <c r="P892" s="177"/>
      <c r="Q892" s="177"/>
      <c r="R892" s="177"/>
      <c r="S892" s="177"/>
      <c r="T892" s="177"/>
      <c r="U892" s="177"/>
      <c r="V892" s="177"/>
      <c r="W892" s="177"/>
      <c r="X892" s="177"/>
      <c r="Y892" s="177"/>
      <c r="Z892" s="177"/>
      <c r="AA892" s="177"/>
      <c r="AB892" s="177"/>
      <c r="AC892" s="177"/>
      <c r="AD892" s="177"/>
      <c r="AE892" s="177"/>
    </row>
    <row r="893" spans="1:31" ht="13.5" thickBot="1">
      <c r="A893" s="202"/>
      <c r="B893" s="202"/>
      <c r="C893" s="202"/>
      <c r="D893" s="202"/>
      <c r="E893" s="202"/>
      <c r="F893" s="202"/>
      <c r="G893" s="202"/>
      <c r="H893" s="177"/>
      <c r="I893" s="177"/>
      <c r="J893" s="177"/>
      <c r="K893" s="177"/>
      <c r="L893" s="177"/>
      <c r="M893" s="177"/>
      <c r="N893" s="177"/>
      <c r="O893" s="177"/>
      <c r="P893" s="177"/>
      <c r="Q893" s="177"/>
      <c r="R893" s="177"/>
      <c r="S893" s="177"/>
      <c r="T893" s="177"/>
      <c r="U893" s="177"/>
      <c r="V893" s="177"/>
      <c r="W893" s="177"/>
      <c r="X893" s="177"/>
      <c r="Y893" s="177"/>
      <c r="Z893" s="177"/>
      <c r="AA893" s="177"/>
      <c r="AB893" s="177"/>
      <c r="AC893" s="177"/>
      <c r="AD893" s="177"/>
      <c r="AE893" s="177"/>
    </row>
    <row r="894" spans="1:31" ht="13.5" thickBot="1">
      <c r="A894" s="202"/>
      <c r="B894" s="202"/>
      <c r="C894" s="202"/>
      <c r="D894" s="202"/>
      <c r="E894" s="202"/>
      <c r="F894" s="202"/>
      <c r="G894" s="202"/>
      <c r="H894" s="177"/>
      <c r="I894" s="177"/>
      <c r="J894" s="177"/>
      <c r="K894" s="177"/>
      <c r="L894" s="177"/>
      <c r="M894" s="177"/>
      <c r="N894" s="177"/>
      <c r="O894" s="177"/>
      <c r="P894" s="177"/>
      <c r="Q894" s="177"/>
      <c r="R894" s="177"/>
      <c r="S894" s="177"/>
      <c r="T894" s="177"/>
      <c r="U894" s="177"/>
      <c r="V894" s="177"/>
      <c r="W894" s="177"/>
      <c r="X894" s="177"/>
      <c r="Y894" s="177"/>
      <c r="Z894" s="177"/>
      <c r="AA894" s="177"/>
      <c r="AB894" s="177"/>
      <c r="AC894" s="177"/>
      <c r="AD894" s="177"/>
      <c r="AE894" s="177"/>
    </row>
    <row r="895" spans="1:31" ht="13.5" thickBot="1">
      <c r="A895" s="202"/>
      <c r="B895" s="202"/>
      <c r="C895" s="202"/>
      <c r="D895" s="202"/>
      <c r="E895" s="202"/>
      <c r="F895" s="202"/>
      <c r="G895" s="202"/>
      <c r="H895" s="177"/>
      <c r="I895" s="177"/>
      <c r="J895" s="177"/>
      <c r="K895" s="177"/>
      <c r="L895" s="177"/>
      <c r="M895" s="177"/>
      <c r="N895" s="177"/>
      <c r="O895" s="177"/>
      <c r="P895" s="177"/>
      <c r="Q895" s="177"/>
      <c r="R895" s="177"/>
      <c r="S895" s="177"/>
      <c r="T895" s="177"/>
      <c r="U895" s="177"/>
      <c r="V895" s="177"/>
      <c r="W895" s="177"/>
      <c r="X895" s="177"/>
      <c r="Y895" s="177"/>
      <c r="Z895" s="177"/>
      <c r="AA895" s="177"/>
      <c r="AB895" s="177"/>
      <c r="AC895" s="177"/>
      <c r="AD895" s="177"/>
      <c r="AE895" s="177"/>
    </row>
    <row r="896" spans="1:31" ht="13.5" thickBot="1">
      <c r="A896" s="202"/>
      <c r="B896" s="202"/>
      <c r="C896" s="202"/>
      <c r="D896" s="202"/>
      <c r="E896" s="202"/>
      <c r="F896" s="202"/>
      <c r="G896" s="202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</row>
    <row r="897" spans="1:31" ht="13.5" thickBot="1">
      <c r="A897" s="202"/>
      <c r="B897" s="202"/>
      <c r="C897" s="202"/>
      <c r="D897" s="202"/>
      <c r="E897" s="202"/>
      <c r="F897" s="202"/>
      <c r="G897" s="202"/>
      <c r="H897" s="177"/>
      <c r="I897" s="177"/>
      <c r="J897" s="177"/>
      <c r="K897" s="177"/>
      <c r="L897" s="177"/>
      <c r="M897" s="177"/>
      <c r="N897" s="177"/>
      <c r="O897" s="177"/>
      <c r="P897" s="177"/>
      <c r="Q897" s="177"/>
      <c r="R897" s="177"/>
      <c r="S897" s="177"/>
      <c r="T897" s="177"/>
      <c r="U897" s="177"/>
      <c r="V897" s="177"/>
      <c r="W897" s="177"/>
      <c r="X897" s="177"/>
      <c r="Y897" s="177"/>
      <c r="Z897" s="177"/>
      <c r="AA897" s="177"/>
      <c r="AB897" s="177"/>
      <c r="AC897" s="177"/>
      <c r="AD897" s="177"/>
      <c r="AE897" s="177"/>
    </row>
    <row r="898" spans="1:31" ht="13.5" thickBot="1">
      <c r="A898" s="202"/>
      <c r="B898" s="202"/>
      <c r="C898" s="202"/>
      <c r="D898" s="202"/>
      <c r="E898" s="202"/>
      <c r="F898" s="202"/>
      <c r="G898" s="202"/>
      <c r="H898" s="177"/>
      <c r="I898" s="177"/>
      <c r="J898" s="177"/>
      <c r="K898" s="177"/>
      <c r="L898" s="177"/>
      <c r="M898" s="177"/>
      <c r="N898" s="177"/>
      <c r="O898" s="177"/>
      <c r="P898" s="177"/>
      <c r="Q898" s="177"/>
      <c r="R898" s="177"/>
      <c r="S898" s="177"/>
      <c r="T898" s="177"/>
      <c r="U898" s="177"/>
      <c r="V898" s="177"/>
      <c r="W898" s="177"/>
      <c r="X898" s="177"/>
      <c r="Y898" s="177"/>
      <c r="Z898" s="177"/>
      <c r="AA898" s="177"/>
      <c r="AB898" s="177"/>
      <c r="AC898" s="177"/>
      <c r="AD898" s="177"/>
      <c r="AE898" s="177"/>
    </row>
    <row r="899" spans="1:31" ht="13.5" thickBot="1">
      <c r="A899" s="202"/>
      <c r="B899" s="202"/>
      <c r="C899" s="202"/>
      <c r="D899" s="202"/>
      <c r="E899" s="202"/>
      <c r="F899" s="202"/>
      <c r="G899" s="202"/>
      <c r="H899" s="177"/>
      <c r="I899" s="177"/>
      <c r="J899" s="177"/>
      <c r="K899" s="177"/>
      <c r="L899" s="177"/>
      <c r="M899" s="177"/>
      <c r="N899" s="177"/>
      <c r="O899" s="177"/>
      <c r="P899" s="177"/>
      <c r="Q899" s="177"/>
      <c r="R899" s="177"/>
      <c r="S899" s="177"/>
      <c r="T899" s="177"/>
      <c r="U899" s="177"/>
      <c r="V899" s="177"/>
      <c r="W899" s="177"/>
      <c r="X899" s="177"/>
      <c r="Y899" s="177"/>
      <c r="Z899" s="177"/>
      <c r="AA899" s="177"/>
      <c r="AB899" s="177"/>
      <c r="AC899" s="177"/>
      <c r="AD899" s="177"/>
      <c r="AE899" s="177"/>
    </row>
    <row r="900" spans="1:31" ht="13.5" thickBot="1">
      <c r="A900" s="202"/>
      <c r="B900" s="202"/>
      <c r="C900" s="202"/>
      <c r="D900" s="202"/>
      <c r="E900" s="202"/>
      <c r="F900" s="202"/>
      <c r="G900" s="202"/>
      <c r="H900" s="177"/>
      <c r="I900" s="177"/>
      <c r="J900" s="177"/>
      <c r="K900" s="177"/>
      <c r="L900" s="177"/>
      <c r="M900" s="177"/>
      <c r="N900" s="177"/>
      <c r="O900" s="177"/>
      <c r="P900" s="177"/>
      <c r="Q900" s="177"/>
      <c r="R900" s="177"/>
      <c r="S900" s="177"/>
      <c r="T900" s="177"/>
      <c r="U900" s="177"/>
      <c r="V900" s="177"/>
      <c r="W900" s="177"/>
      <c r="X900" s="177"/>
      <c r="Y900" s="177"/>
      <c r="Z900" s="177"/>
      <c r="AA900" s="177"/>
      <c r="AB900" s="177"/>
      <c r="AC900" s="177"/>
      <c r="AD900" s="177"/>
      <c r="AE900" s="177"/>
    </row>
    <row r="901" spans="1:31" ht="13.5" thickBot="1">
      <c r="A901" s="202"/>
      <c r="B901" s="202"/>
      <c r="C901" s="202"/>
      <c r="D901" s="202"/>
      <c r="E901" s="202"/>
      <c r="F901" s="202"/>
      <c r="G901" s="202"/>
      <c r="H901" s="177"/>
      <c r="I901" s="177"/>
      <c r="J901" s="177"/>
      <c r="K901" s="177"/>
      <c r="L901" s="177"/>
      <c r="M901" s="177"/>
      <c r="N901" s="177"/>
      <c r="O901" s="177"/>
      <c r="P901" s="177"/>
      <c r="Q901" s="177"/>
      <c r="R901" s="177"/>
      <c r="S901" s="177"/>
      <c r="T901" s="177"/>
      <c r="U901" s="177"/>
      <c r="V901" s="177"/>
      <c r="W901" s="177"/>
      <c r="X901" s="177"/>
      <c r="Y901" s="177"/>
      <c r="Z901" s="177"/>
      <c r="AA901" s="177"/>
      <c r="AB901" s="177"/>
      <c r="AC901" s="177"/>
      <c r="AD901" s="177"/>
      <c r="AE901" s="177"/>
    </row>
    <row r="902" spans="1:31" ht="13.5" thickBot="1">
      <c r="A902" s="202"/>
      <c r="B902" s="202"/>
      <c r="C902" s="202"/>
      <c r="D902" s="202"/>
      <c r="E902" s="202"/>
      <c r="F902" s="202"/>
      <c r="G902" s="202"/>
      <c r="H902" s="177"/>
      <c r="I902" s="177"/>
      <c r="J902" s="177"/>
      <c r="K902" s="177"/>
      <c r="L902" s="177"/>
      <c r="M902" s="177"/>
      <c r="N902" s="177"/>
      <c r="O902" s="177"/>
      <c r="P902" s="177"/>
      <c r="Q902" s="177"/>
      <c r="R902" s="177"/>
      <c r="S902" s="177"/>
      <c r="T902" s="177"/>
      <c r="U902" s="177"/>
      <c r="V902" s="177"/>
      <c r="W902" s="177"/>
      <c r="X902" s="177"/>
      <c r="Y902" s="177"/>
      <c r="Z902" s="177"/>
      <c r="AA902" s="177"/>
      <c r="AB902" s="177"/>
      <c r="AC902" s="177"/>
      <c r="AD902" s="177"/>
      <c r="AE902" s="177"/>
    </row>
    <row r="903" spans="1:31" ht="13.5" thickBot="1">
      <c r="A903" s="202"/>
      <c r="B903" s="202"/>
      <c r="C903" s="202"/>
      <c r="D903" s="202"/>
      <c r="E903" s="202"/>
      <c r="F903" s="202"/>
      <c r="G903" s="202"/>
      <c r="H903" s="177"/>
      <c r="I903" s="177"/>
      <c r="J903" s="177"/>
      <c r="K903" s="177"/>
      <c r="L903" s="177"/>
      <c r="M903" s="177"/>
      <c r="N903" s="177"/>
      <c r="O903" s="177"/>
      <c r="P903" s="177"/>
      <c r="Q903" s="177"/>
      <c r="R903" s="177"/>
      <c r="S903" s="177"/>
      <c r="T903" s="177"/>
      <c r="U903" s="177"/>
      <c r="V903" s="177"/>
      <c r="W903" s="177"/>
      <c r="X903" s="177"/>
      <c r="Y903" s="177"/>
      <c r="Z903" s="177"/>
      <c r="AA903" s="177"/>
      <c r="AB903" s="177"/>
      <c r="AC903" s="177"/>
      <c r="AD903" s="177"/>
      <c r="AE903" s="177"/>
    </row>
    <row r="904" spans="1:31" ht="13.5" thickBot="1">
      <c r="A904" s="202"/>
      <c r="B904" s="202"/>
      <c r="C904" s="202"/>
      <c r="D904" s="202"/>
      <c r="E904" s="202"/>
      <c r="F904" s="202"/>
      <c r="G904" s="202"/>
      <c r="H904" s="177"/>
      <c r="I904" s="177"/>
      <c r="J904" s="177"/>
      <c r="K904" s="177"/>
      <c r="L904" s="177"/>
      <c r="M904" s="177"/>
      <c r="N904" s="177"/>
      <c r="O904" s="177"/>
      <c r="P904" s="177"/>
      <c r="Q904" s="177"/>
      <c r="R904" s="177"/>
      <c r="S904" s="177"/>
      <c r="T904" s="177"/>
      <c r="U904" s="177"/>
      <c r="V904" s="177"/>
      <c r="W904" s="177"/>
      <c r="X904" s="177"/>
      <c r="Y904" s="177"/>
      <c r="Z904" s="177"/>
      <c r="AA904" s="177"/>
      <c r="AB904" s="177"/>
      <c r="AC904" s="177"/>
      <c r="AD904" s="177"/>
      <c r="AE904" s="177"/>
    </row>
    <row r="905" spans="1:31" ht="13.5" thickBot="1">
      <c r="A905" s="202"/>
      <c r="B905" s="202"/>
      <c r="C905" s="202"/>
      <c r="D905" s="202"/>
      <c r="E905" s="202"/>
      <c r="F905" s="202"/>
      <c r="G905" s="202"/>
      <c r="H905" s="177"/>
      <c r="I905" s="177"/>
      <c r="J905" s="177"/>
      <c r="K905" s="177"/>
      <c r="L905" s="177"/>
      <c r="M905" s="177"/>
      <c r="N905" s="177"/>
      <c r="O905" s="177"/>
      <c r="P905" s="177"/>
      <c r="Q905" s="177"/>
      <c r="R905" s="177"/>
      <c r="S905" s="177"/>
      <c r="T905" s="177"/>
      <c r="U905" s="177"/>
      <c r="V905" s="177"/>
      <c r="W905" s="177"/>
      <c r="X905" s="177"/>
      <c r="Y905" s="177"/>
      <c r="Z905" s="177"/>
      <c r="AA905" s="177"/>
      <c r="AB905" s="177"/>
      <c r="AC905" s="177"/>
      <c r="AD905" s="177"/>
      <c r="AE905" s="177"/>
    </row>
    <row r="906" spans="1:31" ht="13.5" thickBot="1">
      <c r="A906" s="202"/>
      <c r="B906" s="202"/>
      <c r="C906" s="202"/>
      <c r="D906" s="202"/>
      <c r="E906" s="202"/>
      <c r="F906" s="202"/>
      <c r="G906" s="202"/>
      <c r="H906" s="177"/>
      <c r="I906" s="177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77"/>
      <c r="AE906" s="177"/>
    </row>
    <row r="907" spans="1:31" ht="13.5" thickBot="1">
      <c r="A907" s="202"/>
      <c r="B907" s="202"/>
      <c r="C907" s="202"/>
      <c r="D907" s="202"/>
      <c r="E907" s="202"/>
      <c r="F907" s="202"/>
      <c r="G907" s="202"/>
      <c r="H907" s="177"/>
      <c r="I907" s="177"/>
      <c r="J907" s="177"/>
      <c r="K907" s="177"/>
      <c r="L907" s="177"/>
      <c r="M907" s="177"/>
      <c r="N907" s="177"/>
      <c r="O907" s="177"/>
      <c r="P907" s="177"/>
      <c r="Q907" s="177"/>
      <c r="R907" s="177"/>
      <c r="S907" s="177"/>
      <c r="T907" s="177"/>
      <c r="U907" s="177"/>
      <c r="V907" s="177"/>
      <c r="W907" s="177"/>
      <c r="X907" s="177"/>
      <c r="Y907" s="177"/>
      <c r="Z907" s="177"/>
      <c r="AA907" s="177"/>
      <c r="AB907" s="177"/>
      <c r="AC907" s="177"/>
      <c r="AD907" s="177"/>
      <c r="AE907" s="177"/>
    </row>
    <row r="908" spans="1:31" ht="13.5" thickBot="1">
      <c r="A908" s="202"/>
      <c r="B908" s="202"/>
      <c r="C908" s="202"/>
      <c r="D908" s="202"/>
      <c r="E908" s="202"/>
      <c r="F908" s="202"/>
      <c r="G908" s="202"/>
      <c r="H908" s="177"/>
      <c r="I908" s="177"/>
      <c r="J908" s="177"/>
      <c r="K908" s="177"/>
      <c r="L908" s="177"/>
      <c r="M908" s="177"/>
      <c r="N908" s="177"/>
      <c r="O908" s="177"/>
      <c r="P908" s="177"/>
      <c r="Q908" s="177"/>
      <c r="R908" s="177"/>
      <c r="S908" s="177"/>
      <c r="T908" s="177"/>
      <c r="U908" s="177"/>
      <c r="V908" s="177"/>
      <c r="W908" s="177"/>
      <c r="X908" s="177"/>
      <c r="Y908" s="177"/>
      <c r="Z908" s="177"/>
      <c r="AA908" s="177"/>
      <c r="AB908" s="177"/>
      <c r="AC908" s="177"/>
      <c r="AD908" s="177"/>
      <c r="AE908" s="177"/>
    </row>
    <row r="909" spans="1:31" ht="13.5" thickBot="1">
      <c r="A909" s="202"/>
      <c r="B909" s="202"/>
      <c r="C909" s="202"/>
      <c r="D909" s="202"/>
      <c r="E909" s="202"/>
      <c r="F909" s="202"/>
      <c r="G909" s="202"/>
      <c r="H909" s="177"/>
      <c r="I909" s="177"/>
      <c r="J909" s="177"/>
      <c r="K909" s="177"/>
      <c r="L909" s="177"/>
      <c r="M909" s="177"/>
      <c r="N909" s="177"/>
      <c r="O909" s="177"/>
      <c r="P909" s="177"/>
      <c r="Q909" s="177"/>
      <c r="R909" s="177"/>
      <c r="S909" s="177"/>
      <c r="T909" s="177"/>
      <c r="U909" s="177"/>
      <c r="V909" s="177"/>
      <c r="W909" s="177"/>
      <c r="X909" s="177"/>
      <c r="Y909" s="177"/>
      <c r="Z909" s="177"/>
      <c r="AA909" s="177"/>
      <c r="AB909" s="177"/>
      <c r="AC909" s="177"/>
      <c r="AD909" s="177"/>
      <c r="AE909" s="177"/>
    </row>
    <row r="910" spans="1:31" ht="13.5" thickBot="1">
      <c r="A910" s="202"/>
      <c r="B910" s="202"/>
      <c r="C910" s="202"/>
      <c r="D910" s="202"/>
      <c r="E910" s="202"/>
      <c r="F910" s="202"/>
      <c r="G910" s="202"/>
      <c r="H910" s="177"/>
      <c r="I910" s="177"/>
      <c r="J910" s="177"/>
      <c r="K910" s="177"/>
      <c r="L910" s="177"/>
      <c r="M910" s="177"/>
      <c r="N910" s="177"/>
      <c r="O910" s="177"/>
      <c r="P910" s="177"/>
      <c r="Q910" s="177"/>
      <c r="R910" s="177"/>
      <c r="S910" s="177"/>
      <c r="T910" s="177"/>
      <c r="U910" s="177"/>
      <c r="V910" s="177"/>
      <c r="W910" s="177"/>
      <c r="X910" s="177"/>
      <c r="Y910" s="177"/>
      <c r="Z910" s="177"/>
      <c r="AA910" s="177"/>
      <c r="AB910" s="177"/>
      <c r="AC910" s="177"/>
      <c r="AD910" s="177"/>
      <c r="AE910" s="177"/>
    </row>
    <row r="911" spans="1:31" ht="13.5" thickBot="1">
      <c r="A911" s="202"/>
      <c r="B911" s="202"/>
      <c r="C911" s="202"/>
      <c r="D911" s="202"/>
      <c r="E911" s="202"/>
      <c r="F911" s="202"/>
      <c r="G911" s="202"/>
      <c r="H911" s="177"/>
      <c r="I911" s="177"/>
      <c r="J911" s="177"/>
      <c r="K911" s="177"/>
      <c r="L911" s="177"/>
      <c r="M911" s="177"/>
      <c r="N911" s="177"/>
      <c r="O911" s="177"/>
      <c r="P911" s="177"/>
      <c r="Q911" s="177"/>
      <c r="R911" s="177"/>
      <c r="S911" s="177"/>
      <c r="T911" s="177"/>
      <c r="U911" s="177"/>
      <c r="V911" s="177"/>
      <c r="W911" s="177"/>
      <c r="X911" s="177"/>
      <c r="Y911" s="177"/>
      <c r="Z911" s="177"/>
      <c r="AA911" s="177"/>
      <c r="AB911" s="177"/>
      <c r="AC911" s="177"/>
      <c r="AD911" s="177"/>
      <c r="AE911" s="177"/>
    </row>
    <row r="912" spans="1:31" ht="13.5" thickBot="1">
      <c r="A912" s="202"/>
      <c r="B912" s="202"/>
      <c r="C912" s="202"/>
      <c r="D912" s="202"/>
      <c r="E912" s="202"/>
      <c r="F912" s="202"/>
      <c r="G912" s="202"/>
      <c r="H912" s="177"/>
      <c r="I912" s="177"/>
      <c r="J912" s="177"/>
      <c r="K912" s="177"/>
      <c r="L912" s="177"/>
      <c r="M912" s="177"/>
      <c r="N912" s="177"/>
      <c r="O912" s="177"/>
      <c r="P912" s="177"/>
      <c r="Q912" s="177"/>
      <c r="R912" s="177"/>
      <c r="S912" s="177"/>
      <c r="T912" s="177"/>
      <c r="U912" s="177"/>
      <c r="V912" s="177"/>
      <c r="W912" s="177"/>
      <c r="X912" s="177"/>
      <c r="Y912" s="177"/>
      <c r="Z912" s="177"/>
      <c r="AA912" s="177"/>
      <c r="AB912" s="177"/>
      <c r="AC912" s="177"/>
      <c r="AD912" s="177"/>
      <c r="AE912" s="177"/>
    </row>
    <row r="913" spans="1:31" ht="13.5" thickBot="1">
      <c r="A913" s="202"/>
      <c r="B913" s="202"/>
      <c r="C913" s="202"/>
      <c r="D913" s="202"/>
      <c r="E913" s="202"/>
      <c r="F913" s="202"/>
      <c r="G913" s="202"/>
      <c r="H913" s="177"/>
      <c r="I913" s="177"/>
      <c r="J913" s="177"/>
      <c r="K913" s="177"/>
      <c r="L913" s="177"/>
      <c r="M913" s="177"/>
      <c r="N913" s="177"/>
      <c r="O913" s="177"/>
      <c r="P913" s="177"/>
      <c r="Q913" s="177"/>
      <c r="R913" s="177"/>
      <c r="S913" s="177"/>
      <c r="T913" s="177"/>
      <c r="U913" s="177"/>
      <c r="V913" s="177"/>
      <c r="W913" s="177"/>
      <c r="X913" s="177"/>
      <c r="Y913" s="177"/>
      <c r="Z913" s="177"/>
      <c r="AA913" s="177"/>
      <c r="AB913" s="177"/>
      <c r="AC913" s="177"/>
      <c r="AD913" s="177"/>
      <c r="AE913" s="177"/>
    </row>
    <row r="914" spans="1:31" ht="13.5" thickBot="1">
      <c r="A914" s="202"/>
      <c r="B914" s="202"/>
      <c r="C914" s="202"/>
      <c r="D914" s="202"/>
      <c r="E914" s="202"/>
      <c r="F914" s="202"/>
      <c r="G914" s="202"/>
      <c r="H914" s="177"/>
      <c r="I914" s="177"/>
      <c r="J914" s="177"/>
      <c r="K914" s="177"/>
      <c r="L914" s="177"/>
      <c r="M914" s="177"/>
      <c r="N914" s="177"/>
      <c r="O914" s="177"/>
      <c r="P914" s="177"/>
      <c r="Q914" s="177"/>
      <c r="R914" s="177"/>
      <c r="S914" s="177"/>
      <c r="T914" s="177"/>
      <c r="U914" s="177"/>
      <c r="V914" s="177"/>
      <c r="W914" s="177"/>
      <c r="X914" s="177"/>
      <c r="Y914" s="177"/>
      <c r="Z914" s="177"/>
      <c r="AA914" s="177"/>
      <c r="AB914" s="177"/>
      <c r="AC914" s="177"/>
      <c r="AD914" s="177"/>
      <c r="AE914" s="177"/>
    </row>
    <row r="915" spans="1:31" ht="13.5" thickBot="1">
      <c r="A915" s="202"/>
      <c r="B915" s="202"/>
      <c r="C915" s="202"/>
      <c r="D915" s="202"/>
      <c r="E915" s="202"/>
      <c r="F915" s="202"/>
      <c r="G915" s="202"/>
      <c r="H915" s="177"/>
      <c r="I915" s="177"/>
      <c r="J915" s="177"/>
      <c r="K915" s="177"/>
      <c r="L915" s="177"/>
      <c r="M915" s="177"/>
      <c r="N915" s="177"/>
      <c r="O915" s="177"/>
      <c r="P915" s="177"/>
      <c r="Q915" s="177"/>
      <c r="R915" s="177"/>
      <c r="S915" s="177"/>
      <c r="T915" s="177"/>
      <c r="U915" s="177"/>
      <c r="V915" s="177"/>
      <c r="W915" s="177"/>
      <c r="X915" s="177"/>
      <c r="Y915" s="177"/>
      <c r="Z915" s="177"/>
      <c r="AA915" s="177"/>
      <c r="AB915" s="177"/>
      <c r="AC915" s="177"/>
      <c r="AD915" s="177"/>
      <c r="AE915" s="177"/>
    </row>
    <row r="916" spans="1:31" ht="13.5" thickBot="1">
      <c r="A916" s="202"/>
      <c r="B916" s="202"/>
      <c r="C916" s="202"/>
      <c r="D916" s="202"/>
      <c r="E916" s="202"/>
      <c r="F916" s="202"/>
      <c r="G916" s="202"/>
      <c r="H916" s="177"/>
      <c r="I916" s="177"/>
      <c r="J916" s="177"/>
      <c r="K916" s="177"/>
      <c r="L916" s="177"/>
      <c r="M916" s="177"/>
      <c r="N916" s="177"/>
      <c r="O916" s="177"/>
      <c r="P916" s="177"/>
      <c r="Q916" s="177"/>
      <c r="R916" s="177"/>
      <c r="S916" s="177"/>
      <c r="T916" s="177"/>
      <c r="U916" s="177"/>
      <c r="V916" s="177"/>
      <c r="W916" s="177"/>
      <c r="X916" s="177"/>
      <c r="Y916" s="177"/>
      <c r="Z916" s="177"/>
      <c r="AA916" s="177"/>
      <c r="AB916" s="177"/>
      <c r="AC916" s="177"/>
      <c r="AD916" s="177"/>
      <c r="AE916" s="177"/>
    </row>
    <row r="917" spans="1:31" ht="13.5" thickBot="1">
      <c r="A917" s="202"/>
      <c r="B917" s="202"/>
      <c r="C917" s="202"/>
      <c r="D917" s="202"/>
      <c r="E917" s="202"/>
      <c r="F917" s="202"/>
      <c r="G917" s="202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</row>
    <row r="918" spans="1:31" ht="13.5" thickBot="1">
      <c r="A918" s="202"/>
      <c r="B918" s="202"/>
      <c r="C918" s="202"/>
      <c r="D918" s="202"/>
      <c r="E918" s="202"/>
      <c r="F918" s="202"/>
      <c r="G918" s="202"/>
      <c r="H918" s="177"/>
      <c r="I918" s="177"/>
      <c r="J918" s="177"/>
      <c r="K918" s="177"/>
      <c r="L918" s="177"/>
      <c r="M918" s="177"/>
      <c r="N918" s="177"/>
      <c r="O918" s="177"/>
      <c r="P918" s="177"/>
      <c r="Q918" s="177"/>
      <c r="R918" s="177"/>
      <c r="S918" s="177"/>
      <c r="T918" s="177"/>
      <c r="U918" s="177"/>
      <c r="V918" s="177"/>
      <c r="W918" s="177"/>
      <c r="X918" s="177"/>
      <c r="Y918" s="177"/>
      <c r="Z918" s="177"/>
      <c r="AA918" s="177"/>
      <c r="AB918" s="177"/>
      <c r="AC918" s="177"/>
      <c r="AD918" s="177"/>
      <c r="AE918" s="177"/>
    </row>
    <row r="919" spans="1:31" ht="13.5" thickBot="1">
      <c r="A919" s="202"/>
      <c r="B919" s="202"/>
      <c r="C919" s="202"/>
      <c r="D919" s="202"/>
      <c r="E919" s="202"/>
      <c r="F919" s="202"/>
      <c r="G919" s="202"/>
      <c r="H919" s="177"/>
      <c r="I919" s="177"/>
      <c r="J919" s="177"/>
      <c r="K919" s="177"/>
      <c r="L919" s="177"/>
      <c r="M919" s="177"/>
      <c r="N919" s="177"/>
      <c r="O919" s="177"/>
      <c r="P919" s="177"/>
      <c r="Q919" s="177"/>
      <c r="R919" s="177"/>
      <c r="S919" s="177"/>
      <c r="T919" s="177"/>
      <c r="U919" s="177"/>
      <c r="V919" s="177"/>
      <c r="W919" s="177"/>
      <c r="X919" s="177"/>
      <c r="Y919" s="177"/>
      <c r="Z919" s="177"/>
      <c r="AA919" s="177"/>
      <c r="AB919" s="177"/>
      <c r="AC919" s="177"/>
      <c r="AD919" s="177"/>
      <c r="AE919" s="177"/>
    </row>
    <row r="920" spans="1:31" ht="13.5" thickBot="1">
      <c r="A920" s="202"/>
      <c r="B920" s="202"/>
      <c r="C920" s="202"/>
      <c r="D920" s="202"/>
      <c r="E920" s="202"/>
      <c r="F920" s="202"/>
      <c r="G920" s="202"/>
      <c r="H920" s="177"/>
      <c r="I920" s="177"/>
      <c r="J920" s="177"/>
      <c r="K920" s="177"/>
      <c r="L920" s="177"/>
      <c r="M920" s="177"/>
      <c r="N920" s="177"/>
      <c r="O920" s="177"/>
      <c r="P920" s="177"/>
      <c r="Q920" s="177"/>
      <c r="R920" s="177"/>
      <c r="S920" s="177"/>
      <c r="T920" s="177"/>
      <c r="U920" s="177"/>
      <c r="V920" s="177"/>
      <c r="W920" s="177"/>
      <c r="X920" s="177"/>
      <c r="Y920" s="177"/>
      <c r="Z920" s="177"/>
      <c r="AA920" s="177"/>
      <c r="AB920" s="177"/>
      <c r="AC920" s="177"/>
      <c r="AD920" s="177"/>
      <c r="AE920" s="177"/>
    </row>
    <row r="921" spans="1:31" ht="13.5" thickBot="1">
      <c r="A921" s="202"/>
      <c r="B921" s="202"/>
      <c r="C921" s="202"/>
      <c r="D921" s="202"/>
      <c r="E921" s="202"/>
      <c r="F921" s="202"/>
      <c r="G921" s="202"/>
      <c r="H921" s="177"/>
      <c r="I921" s="177"/>
      <c r="J921" s="177"/>
      <c r="K921" s="177"/>
      <c r="L921" s="177"/>
      <c r="M921" s="177"/>
      <c r="N921" s="177"/>
      <c r="O921" s="177"/>
      <c r="P921" s="177"/>
      <c r="Q921" s="177"/>
      <c r="R921" s="177"/>
      <c r="S921" s="177"/>
      <c r="T921" s="177"/>
      <c r="U921" s="177"/>
      <c r="V921" s="177"/>
      <c r="W921" s="177"/>
      <c r="X921" s="177"/>
      <c r="Y921" s="177"/>
      <c r="Z921" s="177"/>
      <c r="AA921" s="177"/>
      <c r="AB921" s="177"/>
      <c r="AC921" s="177"/>
      <c r="AD921" s="177"/>
      <c r="AE921" s="177"/>
    </row>
    <row r="922" spans="1:31" ht="13.5" thickBot="1">
      <c r="A922" s="202"/>
      <c r="B922" s="202"/>
      <c r="C922" s="202"/>
      <c r="D922" s="202"/>
      <c r="E922" s="202"/>
      <c r="F922" s="202"/>
      <c r="G922" s="202"/>
      <c r="H922" s="177"/>
      <c r="I922" s="177"/>
      <c r="J922" s="177"/>
      <c r="K922" s="177"/>
      <c r="L922" s="177"/>
      <c r="M922" s="177"/>
      <c r="N922" s="177"/>
      <c r="O922" s="177"/>
      <c r="P922" s="177"/>
      <c r="Q922" s="177"/>
      <c r="R922" s="177"/>
      <c r="S922" s="177"/>
      <c r="T922" s="177"/>
      <c r="U922" s="177"/>
      <c r="V922" s="177"/>
      <c r="W922" s="177"/>
      <c r="X922" s="177"/>
      <c r="Y922" s="177"/>
      <c r="Z922" s="177"/>
      <c r="AA922" s="177"/>
      <c r="AB922" s="177"/>
      <c r="AC922" s="177"/>
      <c r="AD922" s="177"/>
      <c r="AE922" s="177"/>
    </row>
    <row r="923" spans="1:31" ht="13.5" thickBot="1">
      <c r="A923" s="202"/>
      <c r="B923" s="202"/>
      <c r="C923" s="202"/>
      <c r="D923" s="202"/>
      <c r="E923" s="202"/>
      <c r="F923" s="202"/>
      <c r="G923" s="202"/>
      <c r="H923" s="177"/>
      <c r="I923" s="177"/>
      <c r="J923" s="177"/>
      <c r="K923" s="177"/>
      <c r="L923" s="177"/>
      <c r="M923" s="177"/>
      <c r="N923" s="177"/>
      <c r="O923" s="177"/>
      <c r="P923" s="177"/>
      <c r="Q923" s="177"/>
      <c r="R923" s="177"/>
      <c r="S923" s="177"/>
      <c r="T923" s="177"/>
      <c r="U923" s="177"/>
      <c r="V923" s="177"/>
      <c r="W923" s="177"/>
      <c r="X923" s="177"/>
      <c r="Y923" s="177"/>
      <c r="Z923" s="177"/>
      <c r="AA923" s="177"/>
      <c r="AB923" s="177"/>
      <c r="AC923" s="177"/>
      <c r="AD923" s="177"/>
      <c r="AE923" s="177"/>
    </row>
    <row r="924" spans="1:31" ht="13.5" thickBot="1">
      <c r="A924" s="202"/>
      <c r="B924" s="202"/>
      <c r="C924" s="202"/>
      <c r="D924" s="202"/>
      <c r="E924" s="202"/>
      <c r="F924" s="202"/>
      <c r="G924" s="202"/>
      <c r="H924" s="177"/>
      <c r="I924" s="177"/>
      <c r="J924" s="177"/>
      <c r="K924" s="177"/>
      <c r="L924" s="177"/>
      <c r="M924" s="177"/>
      <c r="N924" s="177"/>
      <c r="O924" s="177"/>
      <c r="P924" s="177"/>
      <c r="Q924" s="177"/>
      <c r="R924" s="177"/>
      <c r="S924" s="177"/>
      <c r="T924" s="177"/>
      <c r="U924" s="177"/>
      <c r="V924" s="177"/>
      <c r="W924" s="177"/>
      <c r="X924" s="177"/>
      <c r="Y924" s="177"/>
      <c r="Z924" s="177"/>
      <c r="AA924" s="177"/>
      <c r="AB924" s="177"/>
      <c r="AC924" s="177"/>
      <c r="AD924" s="177"/>
      <c r="AE924" s="177"/>
    </row>
    <row r="925" spans="1:31" ht="13.5" thickBot="1">
      <c r="A925" s="202"/>
      <c r="B925" s="202"/>
      <c r="C925" s="202"/>
      <c r="D925" s="202"/>
      <c r="E925" s="202"/>
      <c r="F925" s="202"/>
      <c r="G925" s="202"/>
      <c r="H925" s="177"/>
      <c r="I925" s="177"/>
      <c r="J925" s="177"/>
      <c r="K925" s="177"/>
      <c r="L925" s="177"/>
      <c r="M925" s="177"/>
      <c r="N925" s="177"/>
      <c r="O925" s="177"/>
      <c r="P925" s="177"/>
      <c r="Q925" s="177"/>
      <c r="R925" s="177"/>
      <c r="S925" s="177"/>
      <c r="T925" s="177"/>
      <c r="U925" s="177"/>
      <c r="V925" s="177"/>
      <c r="W925" s="177"/>
      <c r="X925" s="177"/>
      <c r="Y925" s="177"/>
      <c r="Z925" s="177"/>
      <c r="AA925" s="177"/>
      <c r="AB925" s="177"/>
      <c r="AC925" s="177"/>
      <c r="AD925" s="177"/>
      <c r="AE925" s="177"/>
    </row>
    <row r="926" spans="1:31" ht="13.5" thickBot="1">
      <c r="A926" s="202"/>
      <c r="B926" s="202"/>
      <c r="C926" s="202"/>
      <c r="D926" s="202"/>
      <c r="E926" s="202"/>
      <c r="F926" s="202"/>
      <c r="G926" s="202"/>
      <c r="H926" s="177"/>
      <c r="I926" s="177"/>
      <c r="J926" s="177"/>
      <c r="K926" s="177"/>
      <c r="L926" s="177"/>
      <c r="M926" s="177"/>
      <c r="N926" s="177"/>
      <c r="O926" s="177"/>
      <c r="P926" s="177"/>
      <c r="Q926" s="177"/>
      <c r="R926" s="177"/>
      <c r="S926" s="177"/>
      <c r="T926" s="177"/>
      <c r="U926" s="177"/>
      <c r="V926" s="177"/>
      <c r="W926" s="177"/>
      <c r="X926" s="177"/>
      <c r="Y926" s="177"/>
      <c r="Z926" s="177"/>
      <c r="AA926" s="177"/>
      <c r="AB926" s="177"/>
      <c r="AC926" s="177"/>
      <c r="AD926" s="177"/>
      <c r="AE926" s="177"/>
    </row>
    <row r="927" spans="1:31" ht="13.5" thickBot="1">
      <c r="A927" s="202"/>
      <c r="B927" s="202"/>
      <c r="C927" s="202"/>
      <c r="D927" s="202"/>
      <c r="E927" s="202"/>
      <c r="F927" s="202"/>
      <c r="G927" s="202"/>
      <c r="H927" s="177"/>
      <c r="I927" s="177"/>
      <c r="J927" s="177"/>
      <c r="K927" s="177"/>
      <c r="L927" s="177"/>
      <c r="M927" s="177"/>
      <c r="N927" s="177"/>
      <c r="O927" s="177"/>
      <c r="P927" s="177"/>
      <c r="Q927" s="177"/>
      <c r="R927" s="177"/>
      <c r="S927" s="177"/>
      <c r="T927" s="177"/>
      <c r="U927" s="177"/>
      <c r="V927" s="177"/>
      <c r="W927" s="177"/>
      <c r="X927" s="177"/>
      <c r="Y927" s="177"/>
      <c r="Z927" s="177"/>
      <c r="AA927" s="177"/>
      <c r="AB927" s="177"/>
      <c r="AC927" s="177"/>
      <c r="AD927" s="177"/>
      <c r="AE927" s="177"/>
    </row>
    <row r="928" spans="1:31" ht="13.5" thickBot="1">
      <c r="A928" s="202"/>
      <c r="B928" s="202"/>
      <c r="C928" s="202"/>
      <c r="D928" s="202"/>
      <c r="E928" s="202"/>
      <c r="F928" s="202"/>
      <c r="G928" s="202"/>
      <c r="H928" s="177"/>
      <c r="I928" s="177"/>
      <c r="J928" s="177"/>
      <c r="K928" s="177"/>
      <c r="L928" s="177"/>
      <c r="M928" s="177"/>
      <c r="N928" s="177"/>
      <c r="O928" s="177"/>
      <c r="P928" s="177"/>
      <c r="Q928" s="177"/>
      <c r="R928" s="177"/>
      <c r="S928" s="177"/>
      <c r="T928" s="177"/>
      <c r="U928" s="177"/>
      <c r="V928" s="177"/>
      <c r="W928" s="177"/>
      <c r="X928" s="177"/>
      <c r="Y928" s="177"/>
      <c r="Z928" s="177"/>
      <c r="AA928" s="177"/>
      <c r="AB928" s="177"/>
      <c r="AC928" s="177"/>
      <c r="AD928" s="177"/>
      <c r="AE928" s="177"/>
    </row>
    <row r="929" spans="1:31" ht="13.5" thickBot="1">
      <c r="A929" s="202"/>
      <c r="B929" s="202"/>
      <c r="C929" s="202"/>
      <c r="D929" s="202"/>
      <c r="E929" s="202"/>
      <c r="F929" s="202"/>
      <c r="G929" s="202"/>
      <c r="H929" s="177"/>
      <c r="I929" s="177"/>
      <c r="J929" s="177"/>
      <c r="K929" s="177"/>
      <c r="L929" s="177"/>
      <c r="M929" s="177"/>
      <c r="N929" s="177"/>
      <c r="O929" s="177"/>
      <c r="P929" s="177"/>
      <c r="Q929" s="177"/>
      <c r="R929" s="177"/>
      <c r="S929" s="177"/>
      <c r="T929" s="177"/>
      <c r="U929" s="177"/>
      <c r="V929" s="177"/>
      <c r="W929" s="177"/>
      <c r="X929" s="177"/>
      <c r="Y929" s="177"/>
      <c r="Z929" s="177"/>
      <c r="AA929" s="177"/>
      <c r="AB929" s="177"/>
      <c r="AC929" s="177"/>
      <c r="AD929" s="177"/>
      <c r="AE929" s="177"/>
    </row>
    <row r="930" spans="1:31" ht="13.5" thickBot="1">
      <c r="A930" s="202"/>
      <c r="B930" s="202"/>
      <c r="C930" s="202"/>
      <c r="D930" s="202"/>
      <c r="E930" s="202"/>
      <c r="F930" s="202"/>
      <c r="G930" s="202"/>
      <c r="H930" s="177"/>
      <c r="I930" s="177"/>
      <c r="J930" s="177"/>
      <c r="K930" s="177"/>
      <c r="L930" s="177"/>
      <c r="M930" s="177"/>
      <c r="N930" s="177"/>
      <c r="O930" s="177"/>
      <c r="P930" s="177"/>
      <c r="Q930" s="177"/>
      <c r="R930" s="177"/>
      <c r="S930" s="177"/>
      <c r="T930" s="177"/>
      <c r="U930" s="177"/>
      <c r="V930" s="177"/>
      <c r="W930" s="177"/>
      <c r="X930" s="177"/>
      <c r="Y930" s="177"/>
      <c r="Z930" s="177"/>
      <c r="AA930" s="177"/>
      <c r="AB930" s="177"/>
      <c r="AC930" s="177"/>
      <c r="AD930" s="177"/>
      <c r="AE930" s="177"/>
    </row>
    <row r="931" spans="1:31" ht="13.5" thickBot="1">
      <c r="A931" s="202"/>
      <c r="B931" s="202"/>
      <c r="C931" s="202"/>
      <c r="D931" s="202"/>
      <c r="E931" s="202"/>
      <c r="F931" s="202"/>
      <c r="G931" s="202"/>
      <c r="H931" s="177"/>
      <c r="I931" s="177"/>
      <c r="J931" s="177"/>
      <c r="K931" s="177"/>
      <c r="L931" s="177"/>
      <c r="M931" s="177"/>
      <c r="N931" s="177"/>
      <c r="O931" s="177"/>
      <c r="P931" s="177"/>
      <c r="Q931" s="177"/>
      <c r="R931" s="177"/>
      <c r="S931" s="177"/>
      <c r="T931" s="177"/>
      <c r="U931" s="177"/>
      <c r="V931" s="177"/>
      <c r="W931" s="177"/>
      <c r="X931" s="177"/>
      <c r="Y931" s="177"/>
      <c r="Z931" s="177"/>
      <c r="AA931" s="177"/>
      <c r="AB931" s="177"/>
      <c r="AC931" s="177"/>
      <c r="AD931" s="177"/>
      <c r="AE931" s="177"/>
    </row>
    <row r="932" spans="1:31" ht="13.5" thickBot="1">
      <c r="A932" s="202"/>
      <c r="B932" s="202"/>
      <c r="C932" s="202"/>
      <c r="D932" s="202"/>
      <c r="E932" s="202"/>
      <c r="F932" s="202"/>
      <c r="G932" s="202"/>
      <c r="H932" s="177"/>
      <c r="I932" s="177"/>
      <c r="J932" s="177"/>
      <c r="K932" s="177"/>
      <c r="L932" s="177"/>
      <c r="M932" s="177"/>
      <c r="N932" s="177"/>
      <c r="O932" s="177"/>
      <c r="P932" s="177"/>
      <c r="Q932" s="177"/>
      <c r="R932" s="177"/>
      <c r="S932" s="177"/>
      <c r="T932" s="177"/>
      <c r="U932" s="177"/>
      <c r="V932" s="177"/>
      <c r="W932" s="177"/>
      <c r="X932" s="177"/>
      <c r="Y932" s="177"/>
      <c r="Z932" s="177"/>
      <c r="AA932" s="177"/>
      <c r="AB932" s="177"/>
      <c r="AC932" s="177"/>
      <c r="AD932" s="177"/>
      <c r="AE932" s="177"/>
    </row>
    <row r="933" spans="1:31" ht="13.5" thickBot="1">
      <c r="A933" s="202"/>
      <c r="B933" s="202"/>
      <c r="C933" s="202"/>
      <c r="D933" s="202"/>
      <c r="E933" s="202"/>
      <c r="F933" s="202"/>
      <c r="G933" s="202"/>
      <c r="H933" s="177"/>
      <c r="I933" s="177"/>
      <c r="J933" s="177"/>
      <c r="K933" s="177"/>
      <c r="L933" s="177"/>
      <c r="M933" s="177"/>
      <c r="N933" s="177"/>
      <c r="O933" s="177"/>
      <c r="P933" s="177"/>
      <c r="Q933" s="177"/>
      <c r="R933" s="177"/>
      <c r="S933" s="177"/>
      <c r="T933" s="177"/>
      <c r="U933" s="177"/>
      <c r="V933" s="177"/>
      <c r="W933" s="177"/>
      <c r="X933" s="177"/>
      <c r="Y933" s="177"/>
      <c r="Z933" s="177"/>
      <c r="AA933" s="177"/>
      <c r="AB933" s="177"/>
      <c r="AC933" s="177"/>
      <c r="AD933" s="177"/>
      <c r="AE933" s="177"/>
    </row>
    <row r="934" spans="1:31" ht="13.5" thickBot="1">
      <c r="A934" s="202"/>
      <c r="B934" s="202"/>
      <c r="C934" s="202"/>
      <c r="D934" s="202"/>
      <c r="E934" s="202"/>
      <c r="F934" s="202"/>
      <c r="G934" s="202"/>
      <c r="H934" s="177"/>
      <c r="I934" s="177"/>
      <c r="J934" s="177"/>
      <c r="K934" s="177"/>
      <c r="L934" s="177"/>
      <c r="M934" s="177"/>
      <c r="N934" s="177"/>
      <c r="O934" s="177"/>
      <c r="P934" s="177"/>
      <c r="Q934" s="177"/>
      <c r="R934" s="177"/>
      <c r="S934" s="177"/>
      <c r="T934" s="177"/>
      <c r="U934" s="177"/>
      <c r="V934" s="177"/>
      <c r="W934" s="177"/>
      <c r="X934" s="177"/>
      <c r="Y934" s="177"/>
      <c r="Z934" s="177"/>
      <c r="AA934" s="177"/>
      <c r="AB934" s="177"/>
      <c r="AC934" s="177"/>
      <c r="AD934" s="177"/>
      <c r="AE934" s="177"/>
    </row>
    <row r="935" spans="1:31" ht="13.5" thickBot="1">
      <c r="A935" s="202"/>
      <c r="B935" s="202"/>
      <c r="C935" s="202"/>
      <c r="D935" s="202"/>
      <c r="E935" s="202"/>
      <c r="F935" s="202"/>
      <c r="G935" s="202"/>
      <c r="H935" s="177"/>
      <c r="I935" s="177"/>
      <c r="J935" s="177"/>
      <c r="K935" s="177"/>
      <c r="L935" s="177"/>
      <c r="M935" s="177"/>
      <c r="N935" s="177"/>
      <c r="O935" s="177"/>
      <c r="P935" s="177"/>
      <c r="Q935" s="177"/>
      <c r="R935" s="177"/>
      <c r="S935" s="177"/>
      <c r="T935" s="177"/>
      <c r="U935" s="177"/>
      <c r="V935" s="177"/>
      <c r="W935" s="177"/>
      <c r="X935" s="177"/>
      <c r="Y935" s="177"/>
      <c r="Z935" s="177"/>
      <c r="AA935" s="177"/>
      <c r="AB935" s="177"/>
      <c r="AC935" s="177"/>
      <c r="AD935" s="177"/>
      <c r="AE935" s="177"/>
    </row>
    <row r="936" spans="1:31" ht="13.5" thickBot="1">
      <c r="A936" s="202"/>
      <c r="B936" s="202"/>
      <c r="C936" s="202"/>
      <c r="D936" s="202"/>
      <c r="E936" s="202"/>
      <c r="F936" s="202"/>
      <c r="G936" s="202"/>
      <c r="H936" s="177"/>
      <c r="I936" s="177"/>
      <c r="J936" s="177"/>
      <c r="K936" s="177"/>
      <c r="L936" s="177"/>
      <c r="M936" s="177"/>
      <c r="N936" s="177"/>
      <c r="O936" s="177"/>
      <c r="P936" s="177"/>
      <c r="Q936" s="177"/>
      <c r="R936" s="177"/>
      <c r="S936" s="177"/>
      <c r="T936" s="177"/>
      <c r="U936" s="177"/>
      <c r="V936" s="177"/>
      <c r="W936" s="177"/>
      <c r="X936" s="177"/>
      <c r="Y936" s="177"/>
      <c r="Z936" s="177"/>
      <c r="AA936" s="177"/>
      <c r="AB936" s="177"/>
      <c r="AC936" s="177"/>
      <c r="AD936" s="177"/>
      <c r="AE936" s="177"/>
    </row>
    <row r="937" spans="1:31" ht="13.5" thickBot="1">
      <c r="A937" s="202"/>
      <c r="B937" s="202"/>
      <c r="C937" s="202"/>
      <c r="D937" s="202"/>
      <c r="E937" s="202"/>
      <c r="F937" s="202"/>
      <c r="G937" s="202"/>
      <c r="H937" s="177"/>
      <c r="I937" s="177"/>
      <c r="J937" s="177"/>
      <c r="K937" s="177"/>
      <c r="L937" s="177"/>
      <c r="M937" s="177"/>
      <c r="N937" s="177"/>
      <c r="O937" s="177"/>
      <c r="P937" s="177"/>
      <c r="Q937" s="177"/>
      <c r="R937" s="177"/>
      <c r="S937" s="177"/>
      <c r="T937" s="177"/>
      <c r="U937" s="177"/>
      <c r="V937" s="177"/>
      <c r="W937" s="177"/>
      <c r="X937" s="177"/>
      <c r="Y937" s="177"/>
      <c r="Z937" s="177"/>
      <c r="AA937" s="177"/>
      <c r="AB937" s="177"/>
      <c r="AC937" s="177"/>
      <c r="AD937" s="177"/>
      <c r="AE937" s="177"/>
    </row>
    <row r="938" spans="1:31" ht="13.5" thickBot="1">
      <c r="A938" s="202"/>
      <c r="B938" s="202"/>
      <c r="C938" s="202"/>
      <c r="D938" s="202"/>
      <c r="E938" s="202"/>
      <c r="F938" s="202"/>
      <c r="G938" s="202"/>
      <c r="H938" s="177"/>
      <c r="I938" s="177"/>
      <c r="J938" s="177"/>
      <c r="K938" s="177"/>
      <c r="L938" s="177"/>
      <c r="M938" s="177"/>
      <c r="N938" s="177"/>
      <c r="O938" s="177"/>
      <c r="P938" s="177"/>
      <c r="Q938" s="177"/>
      <c r="R938" s="177"/>
      <c r="S938" s="177"/>
      <c r="T938" s="177"/>
      <c r="U938" s="177"/>
      <c r="V938" s="177"/>
      <c r="W938" s="177"/>
      <c r="X938" s="177"/>
      <c r="Y938" s="177"/>
      <c r="Z938" s="177"/>
      <c r="AA938" s="177"/>
      <c r="AB938" s="177"/>
      <c r="AC938" s="177"/>
      <c r="AD938" s="177"/>
      <c r="AE938" s="177"/>
    </row>
    <row r="939" spans="1:31" ht="13.5" thickBot="1">
      <c r="A939" s="202"/>
      <c r="B939" s="202"/>
      <c r="C939" s="202"/>
      <c r="D939" s="202"/>
      <c r="E939" s="202"/>
      <c r="F939" s="202"/>
      <c r="G939" s="202"/>
      <c r="H939" s="177"/>
      <c r="I939" s="177"/>
      <c r="J939" s="177"/>
      <c r="K939" s="177"/>
      <c r="L939" s="177"/>
      <c r="M939" s="177"/>
      <c r="N939" s="177"/>
      <c r="O939" s="177"/>
      <c r="P939" s="177"/>
      <c r="Q939" s="177"/>
      <c r="R939" s="177"/>
      <c r="S939" s="177"/>
      <c r="T939" s="177"/>
      <c r="U939" s="177"/>
      <c r="V939" s="177"/>
      <c r="W939" s="177"/>
      <c r="X939" s="177"/>
      <c r="Y939" s="177"/>
      <c r="Z939" s="177"/>
      <c r="AA939" s="177"/>
      <c r="AB939" s="177"/>
      <c r="AC939" s="177"/>
      <c r="AD939" s="177"/>
      <c r="AE939" s="177"/>
    </row>
    <row r="940" spans="1:31" ht="13.5" thickBot="1">
      <c r="A940" s="202"/>
      <c r="B940" s="202"/>
      <c r="C940" s="202"/>
      <c r="D940" s="202"/>
      <c r="E940" s="202"/>
      <c r="F940" s="202"/>
      <c r="G940" s="202"/>
      <c r="H940" s="177"/>
      <c r="I940" s="177"/>
      <c r="J940" s="177"/>
      <c r="K940" s="177"/>
      <c r="L940" s="177"/>
      <c r="M940" s="177"/>
      <c r="N940" s="177"/>
      <c r="O940" s="177"/>
      <c r="P940" s="177"/>
      <c r="Q940" s="177"/>
      <c r="R940" s="177"/>
      <c r="S940" s="177"/>
      <c r="T940" s="177"/>
      <c r="U940" s="177"/>
      <c r="V940" s="177"/>
      <c r="W940" s="177"/>
      <c r="X940" s="177"/>
      <c r="Y940" s="177"/>
      <c r="Z940" s="177"/>
      <c r="AA940" s="177"/>
      <c r="AB940" s="177"/>
      <c r="AC940" s="177"/>
      <c r="AD940" s="177"/>
      <c r="AE940" s="177"/>
    </row>
    <row r="941" spans="1:31" ht="13.5" thickBot="1">
      <c r="A941" s="202"/>
      <c r="B941" s="202"/>
      <c r="C941" s="202"/>
      <c r="D941" s="202"/>
      <c r="E941" s="202"/>
      <c r="F941" s="202"/>
      <c r="G941" s="202"/>
      <c r="H941" s="177"/>
      <c r="I941" s="177"/>
      <c r="J941" s="177"/>
      <c r="K941" s="177"/>
      <c r="L941" s="177"/>
      <c r="M941" s="177"/>
      <c r="N941" s="177"/>
      <c r="O941" s="177"/>
      <c r="P941" s="177"/>
      <c r="Q941" s="177"/>
      <c r="R941" s="177"/>
      <c r="S941" s="177"/>
      <c r="T941" s="177"/>
      <c r="U941" s="177"/>
      <c r="V941" s="177"/>
      <c r="W941" s="177"/>
      <c r="X941" s="177"/>
      <c r="Y941" s="177"/>
      <c r="Z941" s="177"/>
      <c r="AA941" s="177"/>
      <c r="AB941" s="177"/>
      <c r="AC941" s="177"/>
      <c r="AD941" s="177"/>
      <c r="AE941" s="177"/>
    </row>
    <row r="942" spans="1:31" ht="13.5" thickBot="1">
      <c r="A942" s="202"/>
      <c r="B942" s="202"/>
      <c r="C942" s="202"/>
      <c r="D942" s="202"/>
      <c r="E942" s="202"/>
      <c r="F942" s="202"/>
      <c r="G942" s="202"/>
      <c r="H942" s="177"/>
      <c r="I942" s="177"/>
      <c r="J942" s="177"/>
      <c r="K942" s="177"/>
      <c r="L942" s="177"/>
      <c r="M942" s="177"/>
      <c r="N942" s="177"/>
      <c r="O942" s="177"/>
      <c r="P942" s="177"/>
      <c r="Q942" s="177"/>
      <c r="R942" s="177"/>
      <c r="S942" s="177"/>
      <c r="T942" s="177"/>
      <c r="U942" s="177"/>
      <c r="V942" s="177"/>
      <c r="W942" s="177"/>
      <c r="X942" s="177"/>
      <c r="Y942" s="177"/>
      <c r="Z942" s="177"/>
      <c r="AA942" s="177"/>
      <c r="AB942" s="177"/>
      <c r="AC942" s="177"/>
      <c r="AD942" s="177"/>
      <c r="AE942" s="177"/>
    </row>
    <row r="943" spans="1:31" ht="13.5" thickBot="1">
      <c r="A943" s="202"/>
      <c r="B943" s="202"/>
      <c r="C943" s="202"/>
      <c r="D943" s="202"/>
      <c r="E943" s="202"/>
      <c r="F943" s="202"/>
      <c r="G943" s="202"/>
      <c r="H943" s="177"/>
      <c r="I943" s="177"/>
      <c r="J943" s="177"/>
      <c r="K943" s="177"/>
      <c r="L943" s="177"/>
      <c r="M943" s="177"/>
      <c r="N943" s="177"/>
      <c r="O943" s="177"/>
      <c r="P943" s="177"/>
      <c r="Q943" s="177"/>
      <c r="R943" s="177"/>
      <c r="S943" s="177"/>
      <c r="T943" s="177"/>
      <c r="U943" s="177"/>
      <c r="V943" s="177"/>
      <c r="W943" s="177"/>
      <c r="X943" s="177"/>
      <c r="Y943" s="177"/>
      <c r="Z943" s="177"/>
      <c r="AA943" s="177"/>
      <c r="AB943" s="177"/>
      <c r="AC943" s="177"/>
      <c r="AD943" s="177"/>
      <c r="AE943" s="177"/>
    </row>
    <row r="944" spans="1:31" ht="13.5" thickBot="1">
      <c r="A944" s="202"/>
      <c r="B944" s="202"/>
      <c r="C944" s="202"/>
      <c r="D944" s="202"/>
      <c r="E944" s="202"/>
      <c r="F944" s="202"/>
      <c r="G944" s="202"/>
      <c r="H944" s="177"/>
      <c r="I944" s="177"/>
      <c r="J944" s="177"/>
      <c r="K944" s="177"/>
      <c r="L944" s="177"/>
      <c r="M944" s="177"/>
      <c r="N944" s="177"/>
      <c r="O944" s="177"/>
      <c r="P944" s="177"/>
      <c r="Q944" s="177"/>
      <c r="R944" s="177"/>
      <c r="S944" s="177"/>
      <c r="T944" s="177"/>
      <c r="U944" s="177"/>
      <c r="V944" s="177"/>
      <c r="W944" s="177"/>
      <c r="X944" s="177"/>
      <c r="Y944" s="177"/>
      <c r="Z944" s="177"/>
      <c r="AA944" s="177"/>
      <c r="AB944" s="177"/>
      <c r="AC944" s="177"/>
      <c r="AD944" s="177"/>
      <c r="AE944" s="177"/>
    </row>
    <row r="945" spans="1:31" ht="13.5" thickBot="1">
      <c r="A945" s="202"/>
      <c r="B945" s="202"/>
      <c r="C945" s="202"/>
      <c r="D945" s="202"/>
      <c r="E945" s="202"/>
      <c r="F945" s="202"/>
      <c r="G945" s="202"/>
      <c r="H945" s="177"/>
      <c r="I945" s="177"/>
      <c r="J945" s="177"/>
      <c r="K945" s="177"/>
      <c r="L945" s="177"/>
      <c r="M945" s="177"/>
      <c r="N945" s="177"/>
      <c r="O945" s="177"/>
      <c r="P945" s="177"/>
      <c r="Q945" s="177"/>
      <c r="R945" s="177"/>
      <c r="S945" s="177"/>
      <c r="T945" s="177"/>
      <c r="U945" s="177"/>
      <c r="V945" s="177"/>
      <c r="W945" s="177"/>
      <c r="X945" s="177"/>
      <c r="Y945" s="177"/>
      <c r="Z945" s="177"/>
      <c r="AA945" s="177"/>
      <c r="AB945" s="177"/>
      <c r="AC945" s="177"/>
      <c r="AD945" s="177"/>
      <c r="AE945" s="177"/>
    </row>
    <row r="946" spans="1:31" ht="13.5" thickBot="1">
      <c r="A946" s="202"/>
      <c r="B946" s="202"/>
      <c r="C946" s="202"/>
      <c r="D946" s="202"/>
      <c r="E946" s="202"/>
      <c r="F946" s="202"/>
      <c r="G946" s="202"/>
      <c r="H946" s="177"/>
      <c r="I946" s="177"/>
      <c r="J946" s="177"/>
      <c r="K946" s="177"/>
      <c r="L946" s="177"/>
      <c r="M946" s="177"/>
      <c r="N946" s="177"/>
      <c r="O946" s="177"/>
      <c r="P946" s="177"/>
      <c r="Q946" s="177"/>
      <c r="R946" s="177"/>
      <c r="S946" s="177"/>
      <c r="T946" s="177"/>
      <c r="U946" s="177"/>
      <c r="V946" s="177"/>
      <c r="W946" s="177"/>
      <c r="X946" s="177"/>
      <c r="Y946" s="177"/>
      <c r="Z946" s="177"/>
      <c r="AA946" s="177"/>
      <c r="AB946" s="177"/>
      <c r="AC946" s="177"/>
      <c r="AD946" s="177"/>
      <c r="AE946" s="177"/>
    </row>
    <row r="947" spans="1:31" ht="13.5" thickBot="1">
      <c r="A947" s="202"/>
      <c r="B947" s="202"/>
      <c r="C947" s="202"/>
      <c r="D947" s="202"/>
      <c r="E947" s="202"/>
      <c r="F947" s="202"/>
      <c r="G947" s="202"/>
      <c r="H947" s="177"/>
      <c r="I947" s="177"/>
      <c r="J947" s="177"/>
      <c r="K947" s="177"/>
      <c r="L947" s="177"/>
      <c r="M947" s="177"/>
      <c r="N947" s="177"/>
      <c r="O947" s="177"/>
      <c r="P947" s="177"/>
      <c r="Q947" s="177"/>
      <c r="R947" s="177"/>
      <c r="S947" s="177"/>
      <c r="T947" s="177"/>
      <c r="U947" s="177"/>
      <c r="V947" s="177"/>
      <c r="W947" s="177"/>
      <c r="X947" s="177"/>
      <c r="Y947" s="177"/>
      <c r="Z947" s="177"/>
      <c r="AA947" s="177"/>
      <c r="AB947" s="177"/>
      <c r="AC947" s="177"/>
      <c r="AD947" s="177"/>
      <c r="AE947" s="177"/>
    </row>
    <row r="948" spans="1:31" ht="13.5" thickBot="1">
      <c r="A948" s="202"/>
      <c r="B948" s="202"/>
      <c r="C948" s="202"/>
      <c r="D948" s="202"/>
      <c r="E948" s="202"/>
      <c r="F948" s="202"/>
      <c r="G948" s="202"/>
      <c r="H948" s="177"/>
      <c r="I948" s="177"/>
      <c r="J948" s="177"/>
      <c r="K948" s="177"/>
      <c r="L948" s="177"/>
      <c r="M948" s="177"/>
      <c r="N948" s="177"/>
      <c r="O948" s="177"/>
      <c r="P948" s="177"/>
      <c r="Q948" s="177"/>
      <c r="R948" s="177"/>
      <c r="S948" s="177"/>
      <c r="T948" s="177"/>
      <c r="U948" s="177"/>
      <c r="V948" s="177"/>
      <c r="W948" s="177"/>
      <c r="X948" s="177"/>
      <c r="Y948" s="177"/>
      <c r="Z948" s="177"/>
      <c r="AA948" s="177"/>
      <c r="AB948" s="177"/>
      <c r="AC948" s="177"/>
      <c r="AD948" s="177"/>
      <c r="AE948" s="177"/>
    </row>
    <row r="949" spans="1:31" ht="13.5" thickBot="1">
      <c r="A949" s="202"/>
      <c r="B949" s="202"/>
      <c r="C949" s="202"/>
      <c r="D949" s="202"/>
      <c r="E949" s="202"/>
      <c r="F949" s="202"/>
      <c r="G949" s="202"/>
      <c r="H949" s="177"/>
      <c r="I949" s="177"/>
      <c r="J949" s="177"/>
      <c r="K949" s="177"/>
      <c r="L949" s="177"/>
      <c r="M949" s="177"/>
      <c r="N949" s="177"/>
      <c r="O949" s="177"/>
      <c r="P949" s="177"/>
      <c r="Q949" s="177"/>
      <c r="R949" s="177"/>
      <c r="S949" s="177"/>
      <c r="T949" s="177"/>
      <c r="U949" s="177"/>
      <c r="V949" s="177"/>
      <c r="W949" s="177"/>
      <c r="X949" s="177"/>
      <c r="Y949" s="177"/>
      <c r="Z949" s="177"/>
      <c r="AA949" s="177"/>
      <c r="AB949" s="177"/>
      <c r="AC949" s="177"/>
      <c r="AD949" s="177"/>
      <c r="AE949" s="177"/>
    </row>
    <row r="950" spans="1:31" ht="13.5" thickBot="1">
      <c r="A950" s="202"/>
      <c r="B950" s="202"/>
      <c r="C950" s="202"/>
      <c r="D950" s="202"/>
      <c r="E950" s="202"/>
      <c r="F950" s="202"/>
      <c r="G950" s="202"/>
      <c r="H950" s="177"/>
      <c r="I950" s="177"/>
      <c r="J950" s="177"/>
      <c r="K950" s="177"/>
      <c r="L950" s="177"/>
      <c r="M950" s="177"/>
      <c r="N950" s="177"/>
      <c r="O950" s="177"/>
      <c r="P950" s="177"/>
      <c r="Q950" s="177"/>
      <c r="R950" s="177"/>
      <c r="S950" s="177"/>
      <c r="T950" s="177"/>
      <c r="U950" s="177"/>
      <c r="V950" s="177"/>
      <c r="W950" s="177"/>
      <c r="X950" s="177"/>
      <c r="Y950" s="177"/>
      <c r="Z950" s="177"/>
      <c r="AA950" s="177"/>
      <c r="AB950" s="177"/>
      <c r="AC950" s="177"/>
      <c r="AD950" s="177"/>
      <c r="AE950" s="177"/>
    </row>
    <row r="951" spans="1:31" ht="13.5" thickBot="1">
      <c r="A951" s="202"/>
      <c r="B951" s="202"/>
      <c r="C951" s="202"/>
      <c r="D951" s="202"/>
      <c r="E951" s="202"/>
      <c r="F951" s="202"/>
      <c r="G951" s="202"/>
      <c r="H951" s="177"/>
      <c r="I951" s="177"/>
      <c r="J951" s="177"/>
      <c r="K951" s="177"/>
      <c r="L951" s="177"/>
      <c r="M951" s="177"/>
      <c r="N951" s="177"/>
      <c r="O951" s="177"/>
      <c r="P951" s="177"/>
      <c r="Q951" s="177"/>
      <c r="R951" s="177"/>
      <c r="S951" s="177"/>
      <c r="T951" s="177"/>
      <c r="U951" s="177"/>
      <c r="V951" s="177"/>
      <c r="W951" s="177"/>
      <c r="X951" s="177"/>
      <c r="Y951" s="177"/>
      <c r="Z951" s="177"/>
      <c r="AA951" s="177"/>
      <c r="AB951" s="177"/>
      <c r="AC951" s="177"/>
      <c r="AD951" s="177"/>
      <c r="AE951" s="177"/>
    </row>
    <row r="952" spans="1:31" ht="13.5" thickBot="1">
      <c r="A952" s="202"/>
      <c r="B952" s="202"/>
      <c r="C952" s="202"/>
      <c r="D952" s="202"/>
      <c r="E952" s="202"/>
      <c r="F952" s="202"/>
      <c r="G952" s="202"/>
      <c r="H952" s="177"/>
      <c r="I952" s="177"/>
      <c r="J952" s="177"/>
      <c r="K952" s="177"/>
      <c r="L952" s="177"/>
      <c r="M952" s="177"/>
      <c r="N952" s="177"/>
      <c r="O952" s="177"/>
      <c r="P952" s="177"/>
      <c r="Q952" s="177"/>
      <c r="R952" s="177"/>
      <c r="S952" s="177"/>
      <c r="T952" s="177"/>
      <c r="U952" s="177"/>
      <c r="V952" s="177"/>
      <c r="W952" s="177"/>
      <c r="X952" s="177"/>
      <c r="Y952" s="177"/>
      <c r="Z952" s="177"/>
      <c r="AA952" s="177"/>
      <c r="AB952" s="177"/>
      <c r="AC952" s="177"/>
      <c r="AD952" s="177"/>
      <c r="AE952" s="177"/>
    </row>
    <row r="953" spans="1:31" ht="13.5" thickBot="1">
      <c r="A953" s="202"/>
      <c r="B953" s="202"/>
      <c r="C953" s="202"/>
      <c r="D953" s="202"/>
      <c r="E953" s="202"/>
      <c r="F953" s="202"/>
      <c r="G953" s="202"/>
      <c r="H953" s="177"/>
      <c r="I953" s="177"/>
      <c r="J953" s="177"/>
      <c r="K953" s="177"/>
      <c r="L953" s="177"/>
      <c r="M953" s="177"/>
      <c r="N953" s="177"/>
      <c r="O953" s="177"/>
      <c r="P953" s="177"/>
      <c r="Q953" s="177"/>
      <c r="R953" s="177"/>
      <c r="S953" s="177"/>
      <c r="T953" s="177"/>
      <c r="U953" s="177"/>
      <c r="V953" s="177"/>
      <c r="W953" s="177"/>
      <c r="X953" s="177"/>
      <c r="Y953" s="177"/>
      <c r="Z953" s="177"/>
      <c r="AA953" s="177"/>
      <c r="AB953" s="177"/>
      <c r="AC953" s="177"/>
      <c r="AD953" s="177"/>
      <c r="AE953" s="177"/>
    </row>
    <row r="954" spans="1:31" ht="13.5" thickBot="1">
      <c r="A954" s="202"/>
      <c r="B954" s="202"/>
      <c r="C954" s="202"/>
      <c r="D954" s="202"/>
      <c r="E954" s="202"/>
      <c r="F954" s="202"/>
      <c r="G954" s="202"/>
      <c r="H954" s="177"/>
      <c r="I954" s="177"/>
      <c r="J954" s="177"/>
      <c r="K954" s="177"/>
      <c r="L954" s="177"/>
      <c r="M954" s="177"/>
      <c r="N954" s="177"/>
      <c r="O954" s="177"/>
      <c r="P954" s="177"/>
      <c r="Q954" s="177"/>
      <c r="R954" s="177"/>
      <c r="S954" s="177"/>
      <c r="T954" s="177"/>
      <c r="U954" s="177"/>
      <c r="V954" s="177"/>
      <c r="W954" s="177"/>
      <c r="X954" s="177"/>
      <c r="Y954" s="177"/>
      <c r="Z954" s="177"/>
      <c r="AA954" s="177"/>
      <c r="AB954" s="177"/>
      <c r="AC954" s="177"/>
      <c r="AD954" s="177"/>
      <c r="AE954" s="177"/>
    </row>
    <row r="955" spans="1:31" ht="13.5" thickBot="1">
      <c r="A955" s="202"/>
      <c r="B955" s="202"/>
      <c r="C955" s="202"/>
      <c r="D955" s="202"/>
      <c r="E955" s="202"/>
      <c r="F955" s="202"/>
      <c r="G955" s="202"/>
      <c r="H955" s="177"/>
      <c r="I955" s="177"/>
      <c r="J955" s="177"/>
      <c r="K955" s="177"/>
      <c r="L955" s="177"/>
      <c r="M955" s="177"/>
      <c r="N955" s="177"/>
      <c r="O955" s="177"/>
      <c r="P955" s="177"/>
      <c r="Q955" s="177"/>
      <c r="R955" s="177"/>
      <c r="S955" s="177"/>
      <c r="T955" s="177"/>
      <c r="U955" s="177"/>
      <c r="V955" s="177"/>
      <c r="W955" s="177"/>
      <c r="X955" s="177"/>
      <c r="Y955" s="177"/>
      <c r="Z955" s="177"/>
      <c r="AA955" s="177"/>
      <c r="AB955" s="177"/>
      <c r="AC955" s="177"/>
      <c r="AD955" s="177"/>
      <c r="AE955" s="177"/>
    </row>
    <row r="956" spans="1:31" ht="13.5" thickBot="1">
      <c r="A956" s="202"/>
      <c r="B956" s="202"/>
      <c r="C956" s="202"/>
      <c r="D956" s="202"/>
      <c r="E956" s="202"/>
      <c r="F956" s="202"/>
      <c r="G956" s="202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</row>
    <row r="957" spans="1:31" ht="13.5" thickBot="1">
      <c r="A957" s="202"/>
      <c r="B957" s="202"/>
      <c r="C957" s="202"/>
      <c r="D957" s="202"/>
      <c r="E957" s="202"/>
      <c r="F957" s="202"/>
      <c r="G957" s="202"/>
      <c r="H957" s="177"/>
      <c r="I957" s="177"/>
      <c r="J957" s="177"/>
      <c r="K957" s="177"/>
      <c r="L957" s="177"/>
      <c r="M957" s="177"/>
      <c r="N957" s="177"/>
      <c r="O957" s="177"/>
      <c r="P957" s="177"/>
      <c r="Q957" s="177"/>
      <c r="R957" s="177"/>
      <c r="S957" s="177"/>
      <c r="T957" s="177"/>
      <c r="U957" s="177"/>
      <c r="V957" s="177"/>
      <c r="W957" s="177"/>
      <c r="X957" s="177"/>
      <c r="Y957" s="177"/>
      <c r="Z957" s="177"/>
      <c r="AA957" s="177"/>
      <c r="AB957" s="177"/>
      <c r="AC957" s="177"/>
      <c r="AD957" s="177"/>
      <c r="AE957" s="177"/>
    </row>
    <row r="958" spans="1:31" ht="13.5" thickBot="1">
      <c r="A958" s="202"/>
      <c r="B958" s="202"/>
      <c r="C958" s="202"/>
      <c r="D958" s="202"/>
      <c r="E958" s="202"/>
      <c r="F958" s="202"/>
      <c r="G958" s="202"/>
      <c r="H958" s="177"/>
      <c r="I958" s="177"/>
      <c r="J958" s="177"/>
      <c r="K958" s="177"/>
      <c r="L958" s="177"/>
      <c r="M958" s="177"/>
      <c r="N958" s="177"/>
      <c r="O958" s="177"/>
      <c r="P958" s="177"/>
      <c r="Q958" s="177"/>
      <c r="R958" s="177"/>
      <c r="S958" s="177"/>
      <c r="T958" s="177"/>
      <c r="U958" s="177"/>
      <c r="V958" s="177"/>
      <c r="W958" s="177"/>
      <c r="X958" s="177"/>
      <c r="Y958" s="177"/>
      <c r="Z958" s="177"/>
      <c r="AA958" s="177"/>
      <c r="AB958" s="177"/>
      <c r="AC958" s="177"/>
      <c r="AD958" s="177"/>
      <c r="AE958" s="177"/>
    </row>
    <row r="959" spans="1:31" ht="13.5" thickBot="1">
      <c r="A959" s="202"/>
      <c r="B959" s="202"/>
      <c r="C959" s="202"/>
      <c r="D959" s="202"/>
      <c r="E959" s="202"/>
      <c r="F959" s="202"/>
      <c r="G959" s="202"/>
      <c r="H959" s="177"/>
      <c r="I959" s="177"/>
      <c r="J959" s="177"/>
      <c r="K959" s="177"/>
      <c r="L959" s="177"/>
      <c r="M959" s="177"/>
      <c r="N959" s="177"/>
      <c r="O959" s="177"/>
      <c r="P959" s="177"/>
      <c r="Q959" s="177"/>
      <c r="R959" s="177"/>
      <c r="S959" s="177"/>
      <c r="T959" s="177"/>
      <c r="U959" s="177"/>
      <c r="V959" s="177"/>
      <c r="W959" s="177"/>
      <c r="X959" s="177"/>
      <c r="Y959" s="177"/>
      <c r="Z959" s="177"/>
      <c r="AA959" s="177"/>
      <c r="AB959" s="177"/>
      <c r="AC959" s="177"/>
      <c r="AD959" s="177"/>
      <c r="AE959" s="177"/>
    </row>
    <row r="960" spans="1:31" ht="13.5" thickBot="1">
      <c r="A960" s="202"/>
      <c r="B960" s="202"/>
      <c r="C960" s="202"/>
      <c r="D960" s="202"/>
      <c r="E960" s="202"/>
      <c r="F960" s="202"/>
      <c r="G960" s="202"/>
      <c r="H960" s="177"/>
      <c r="I960" s="177"/>
      <c r="J960" s="177"/>
      <c r="K960" s="177"/>
      <c r="L960" s="177"/>
      <c r="M960" s="177"/>
      <c r="N960" s="177"/>
      <c r="O960" s="177"/>
      <c r="P960" s="177"/>
      <c r="Q960" s="177"/>
      <c r="R960" s="177"/>
      <c r="S960" s="177"/>
      <c r="T960" s="177"/>
      <c r="U960" s="177"/>
      <c r="V960" s="177"/>
      <c r="W960" s="177"/>
      <c r="X960" s="177"/>
      <c r="Y960" s="177"/>
      <c r="Z960" s="177"/>
      <c r="AA960" s="177"/>
      <c r="AB960" s="177"/>
      <c r="AC960" s="177"/>
      <c r="AD960" s="177"/>
      <c r="AE960" s="177"/>
    </row>
    <row r="961" spans="1:31" ht="13.5" thickBot="1">
      <c r="A961" s="202"/>
      <c r="B961" s="202"/>
      <c r="C961" s="202"/>
      <c r="D961" s="202"/>
      <c r="E961" s="202"/>
      <c r="F961" s="202"/>
      <c r="G961" s="202"/>
      <c r="H961" s="177"/>
      <c r="I961" s="177"/>
      <c r="J961" s="177"/>
      <c r="K961" s="177"/>
      <c r="L961" s="177"/>
      <c r="M961" s="177"/>
      <c r="N961" s="177"/>
      <c r="O961" s="177"/>
      <c r="P961" s="177"/>
      <c r="Q961" s="177"/>
      <c r="R961" s="177"/>
      <c r="S961" s="177"/>
      <c r="T961" s="177"/>
      <c r="U961" s="177"/>
      <c r="V961" s="177"/>
      <c r="W961" s="177"/>
      <c r="X961" s="177"/>
      <c r="Y961" s="177"/>
      <c r="Z961" s="177"/>
      <c r="AA961" s="177"/>
      <c r="AB961" s="177"/>
      <c r="AC961" s="177"/>
      <c r="AD961" s="177"/>
      <c r="AE961" s="177"/>
    </row>
    <row r="962" spans="1:31" ht="13.5" thickBot="1">
      <c r="A962" s="202"/>
      <c r="B962" s="202"/>
      <c r="C962" s="202"/>
      <c r="D962" s="202"/>
      <c r="E962" s="202"/>
      <c r="F962" s="202"/>
      <c r="G962" s="202"/>
      <c r="H962" s="177"/>
      <c r="I962" s="177"/>
      <c r="J962" s="177"/>
      <c r="K962" s="177"/>
      <c r="L962" s="177"/>
      <c r="M962" s="177"/>
      <c r="N962" s="177"/>
      <c r="O962" s="177"/>
      <c r="P962" s="177"/>
      <c r="Q962" s="177"/>
      <c r="R962" s="177"/>
      <c r="S962" s="177"/>
      <c r="T962" s="177"/>
      <c r="U962" s="177"/>
      <c r="V962" s="177"/>
      <c r="W962" s="177"/>
      <c r="X962" s="177"/>
      <c r="Y962" s="177"/>
      <c r="Z962" s="177"/>
      <c r="AA962" s="177"/>
      <c r="AB962" s="177"/>
      <c r="AC962" s="177"/>
      <c r="AD962" s="177"/>
      <c r="AE962" s="177"/>
    </row>
    <row r="963" spans="1:31" ht="13.5" thickBot="1">
      <c r="A963" s="202"/>
      <c r="B963" s="202"/>
      <c r="C963" s="202"/>
      <c r="D963" s="202"/>
      <c r="E963" s="202"/>
      <c r="F963" s="202"/>
      <c r="G963" s="202"/>
      <c r="H963" s="177"/>
      <c r="I963" s="177"/>
      <c r="J963" s="177"/>
      <c r="K963" s="177"/>
      <c r="L963" s="177"/>
      <c r="M963" s="177"/>
      <c r="N963" s="177"/>
      <c r="O963" s="177"/>
      <c r="P963" s="177"/>
      <c r="Q963" s="177"/>
      <c r="R963" s="177"/>
      <c r="S963" s="177"/>
      <c r="T963" s="177"/>
      <c r="U963" s="177"/>
      <c r="V963" s="177"/>
      <c r="W963" s="177"/>
      <c r="X963" s="177"/>
      <c r="Y963" s="177"/>
      <c r="Z963" s="177"/>
      <c r="AA963" s="177"/>
      <c r="AB963" s="177"/>
      <c r="AC963" s="177"/>
      <c r="AD963" s="177"/>
      <c r="AE963" s="177"/>
    </row>
    <row r="964" spans="1:31" ht="13.5" thickBot="1">
      <c r="A964" s="202"/>
      <c r="B964" s="202"/>
      <c r="C964" s="202"/>
      <c r="D964" s="202"/>
      <c r="E964" s="202"/>
      <c r="F964" s="202"/>
      <c r="G964" s="202"/>
      <c r="H964" s="177"/>
      <c r="I964" s="177"/>
      <c r="J964" s="177"/>
      <c r="K964" s="177"/>
      <c r="L964" s="177"/>
      <c r="M964" s="177"/>
      <c r="N964" s="177"/>
      <c r="O964" s="177"/>
      <c r="P964" s="177"/>
      <c r="Q964" s="177"/>
      <c r="R964" s="177"/>
      <c r="S964" s="177"/>
      <c r="T964" s="177"/>
      <c r="U964" s="177"/>
      <c r="V964" s="177"/>
      <c r="W964" s="177"/>
      <c r="X964" s="177"/>
      <c r="Y964" s="177"/>
      <c r="Z964" s="177"/>
      <c r="AA964" s="177"/>
      <c r="AB964" s="177"/>
      <c r="AC964" s="177"/>
      <c r="AD964" s="177"/>
      <c r="AE964" s="177"/>
    </row>
    <row r="965" spans="1:31" ht="13.5" thickBot="1">
      <c r="A965" s="202"/>
      <c r="B965" s="202"/>
      <c r="C965" s="202"/>
      <c r="D965" s="202"/>
      <c r="E965" s="202"/>
      <c r="F965" s="202"/>
      <c r="G965" s="202"/>
      <c r="H965" s="177"/>
      <c r="I965" s="177"/>
      <c r="J965" s="177"/>
      <c r="K965" s="177"/>
      <c r="L965" s="177"/>
      <c r="M965" s="177"/>
      <c r="N965" s="177"/>
      <c r="O965" s="177"/>
      <c r="P965" s="177"/>
      <c r="Q965" s="177"/>
      <c r="R965" s="177"/>
      <c r="S965" s="177"/>
      <c r="T965" s="177"/>
      <c r="U965" s="177"/>
      <c r="V965" s="177"/>
      <c r="W965" s="177"/>
      <c r="X965" s="177"/>
      <c r="Y965" s="177"/>
      <c r="Z965" s="177"/>
      <c r="AA965" s="177"/>
      <c r="AB965" s="177"/>
      <c r="AC965" s="177"/>
      <c r="AD965" s="177"/>
      <c r="AE965" s="177"/>
    </row>
    <row r="966" spans="1:31" ht="13.5" thickBot="1">
      <c r="A966" s="202"/>
      <c r="B966" s="202"/>
      <c r="C966" s="202"/>
      <c r="D966" s="202"/>
      <c r="E966" s="202"/>
      <c r="F966" s="202"/>
      <c r="G966" s="202"/>
      <c r="H966" s="177"/>
      <c r="I966" s="177"/>
      <c r="J966" s="177"/>
      <c r="K966" s="177"/>
      <c r="L966" s="177"/>
      <c r="M966" s="177"/>
      <c r="N966" s="177"/>
      <c r="O966" s="177"/>
      <c r="P966" s="177"/>
      <c r="Q966" s="177"/>
      <c r="R966" s="177"/>
      <c r="S966" s="177"/>
      <c r="T966" s="177"/>
      <c r="U966" s="177"/>
      <c r="V966" s="177"/>
      <c r="W966" s="177"/>
      <c r="X966" s="177"/>
      <c r="Y966" s="177"/>
      <c r="Z966" s="177"/>
      <c r="AA966" s="177"/>
      <c r="AB966" s="177"/>
      <c r="AC966" s="177"/>
      <c r="AD966" s="177"/>
      <c r="AE966" s="177"/>
    </row>
    <row r="967" spans="1:31" ht="13.5" thickBot="1">
      <c r="A967" s="202"/>
      <c r="B967" s="202"/>
      <c r="C967" s="202"/>
      <c r="D967" s="202"/>
      <c r="E967" s="202"/>
      <c r="F967" s="202"/>
      <c r="G967" s="202"/>
      <c r="H967" s="177"/>
      <c r="I967" s="177"/>
      <c r="J967" s="177"/>
      <c r="K967" s="177"/>
      <c r="L967" s="177"/>
      <c r="M967" s="177"/>
      <c r="N967" s="177"/>
      <c r="O967" s="177"/>
      <c r="P967" s="177"/>
      <c r="Q967" s="177"/>
      <c r="R967" s="177"/>
      <c r="S967" s="177"/>
      <c r="T967" s="177"/>
      <c r="U967" s="177"/>
      <c r="V967" s="177"/>
      <c r="W967" s="177"/>
      <c r="X967" s="177"/>
      <c r="Y967" s="177"/>
      <c r="Z967" s="177"/>
      <c r="AA967" s="177"/>
      <c r="AB967" s="177"/>
      <c r="AC967" s="177"/>
      <c r="AD967" s="177"/>
      <c r="AE967" s="177"/>
    </row>
    <row r="968" spans="1:31" ht="13.5" thickBot="1">
      <c r="A968" s="202"/>
      <c r="B968" s="202"/>
      <c r="C968" s="202"/>
      <c r="D968" s="202"/>
      <c r="E968" s="202"/>
      <c r="F968" s="202"/>
      <c r="G968" s="202"/>
      <c r="H968" s="177"/>
      <c r="I968" s="177"/>
      <c r="J968" s="177"/>
      <c r="K968" s="177"/>
      <c r="L968" s="177"/>
      <c r="M968" s="177"/>
      <c r="N968" s="177"/>
      <c r="O968" s="177"/>
      <c r="P968" s="177"/>
      <c r="Q968" s="177"/>
      <c r="R968" s="177"/>
      <c r="S968" s="177"/>
      <c r="T968" s="177"/>
      <c r="U968" s="177"/>
      <c r="V968" s="177"/>
      <c r="W968" s="177"/>
      <c r="X968" s="177"/>
      <c r="Y968" s="177"/>
      <c r="Z968" s="177"/>
      <c r="AA968" s="177"/>
      <c r="AB968" s="177"/>
      <c r="AC968" s="177"/>
      <c r="AD968" s="177"/>
      <c r="AE968" s="177"/>
    </row>
    <row r="969" spans="1:31" ht="13.5" thickBot="1">
      <c r="A969" s="202"/>
      <c r="B969" s="202"/>
      <c r="C969" s="202"/>
      <c r="D969" s="202"/>
      <c r="E969" s="202"/>
      <c r="F969" s="202"/>
      <c r="G969" s="202"/>
      <c r="H969" s="177"/>
      <c r="I969" s="177"/>
      <c r="J969" s="177"/>
      <c r="K969" s="177"/>
      <c r="L969" s="177"/>
      <c r="M969" s="177"/>
      <c r="N969" s="177"/>
      <c r="O969" s="177"/>
      <c r="P969" s="177"/>
      <c r="Q969" s="177"/>
      <c r="R969" s="177"/>
      <c r="S969" s="177"/>
      <c r="T969" s="177"/>
      <c r="U969" s="177"/>
      <c r="V969" s="177"/>
      <c r="W969" s="177"/>
      <c r="X969" s="177"/>
      <c r="Y969" s="177"/>
      <c r="Z969" s="177"/>
      <c r="AA969" s="177"/>
      <c r="AB969" s="177"/>
      <c r="AC969" s="177"/>
      <c r="AD969" s="177"/>
      <c r="AE969" s="177"/>
    </row>
    <row r="970" spans="1:31" ht="13.5" thickBot="1">
      <c r="A970" s="202"/>
      <c r="B970" s="202"/>
      <c r="C970" s="202"/>
      <c r="D970" s="202"/>
      <c r="E970" s="202"/>
      <c r="F970" s="202"/>
      <c r="G970" s="202"/>
      <c r="H970" s="177"/>
      <c r="I970" s="177"/>
      <c r="J970" s="177"/>
      <c r="K970" s="177"/>
      <c r="L970" s="177"/>
      <c r="M970" s="177"/>
      <c r="N970" s="177"/>
      <c r="O970" s="177"/>
      <c r="P970" s="177"/>
      <c r="Q970" s="177"/>
      <c r="R970" s="177"/>
      <c r="S970" s="177"/>
      <c r="T970" s="177"/>
      <c r="U970" s="177"/>
      <c r="V970" s="177"/>
      <c r="W970" s="177"/>
      <c r="X970" s="177"/>
      <c r="Y970" s="177"/>
      <c r="Z970" s="177"/>
      <c r="AA970" s="177"/>
      <c r="AB970" s="177"/>
      <c r="AC970" s="177"/>
      <c r="AD970" s="177"/>
      <c r="AE970" s="177"/>
    </row>
    <row r="971" spans="1:31" ht="13.5" thickBot="1">
      <c r="A971" s="202"/>
      <c r="B971" s="202"/>
      <c r="C971" s="202"/>
      <c r="D971" s="202"/>
      <c r="E971" s="202"/>
      <c r="F971" s="202"/>
      <c r="G971" s="202"/>
      <c r="H971" s="177"/>
      <c r="I971" s="177"/>
      <c r="J971" s="177"/>
      <c r="K971" s="177"/>
      <c r="L971" s="177"/>
      <c r="M971" s="177"/>
      <c r="N971" s="177"/>
      <c r="O971" s="177"/>
      <c r="P971" s="177"/>
      <c r="Q971" s="177"/>
      <c r="R971" s="177"/>
      <c r="S971" s="177"/>
      <c r="T971" s="177"/>
      <c r="U971" s="177"/>
      <c r="V971" s="177"/>
      <c r="W971" s="177"/>
      <c r="X971" s="177"/>
      <c r="Y971" s="177"/>
      <c r="Z971" s="177"/>
      <c r="AA971" s="177"/>
      <c r="AB971" s="177"/>
      <c r="AC971" s="177"/>
      <c r="AD971" s="177"/>
      <c r="AE971" s="177"/>
    </row>
    <row r="972" spans="1:31" ht="13.5" thickBot="1">
      <c r="A972" s="202"/>
      <c r="B972" s="202"/>
      <c r="C972" s="202"/>
      <c r="D972" s="202"/>
      <c r="E972" s="202"/>
      <c r="F972" s="202"/>
      <c r="G972" s="202"/>
      <c r="H972" s="177"/>
      <c r="I972" s="177"/>
      <c r="J972" s="177"/>
      <c r="K972" s="177"/>
      <c r="L972" s="177"/>
      <c r="M972" s="177"/>
      <c r="N972" s="177"/>
      <c r="O972" s="177"/>
      <c r="P972" s="177"/>
      <c r="Q972" s="177"/>
      <c r="R972" s="177"/>
      <c r="S972" s="177"/>
      <c r="T972" s="177"/>
      <c r="U972" s="177"/>
      <c r="V972" s="177"/>
      <c r="W972" s="177"/>
      <c r="X972" s="177"/>
      <c r="Y972" s="177"/>
      <c r="Z972" s="177"/>
      <c r="AA972" s="177"/>
      <c r="AB972" s="177"/>
      <c r="AC972" s="177"/>
      <c r="AD972" s="177"/>
      <c r="AE972" s="177"/>
    </row>
    <row r="973" spans="1:31" ht="13.5" thickBot="1">
      <c r="A973" s="202"/>
      <c r="B973" s="202"/>
      <c r="C973" s="202"/>
      <c r="D973" s="202"/>
      <c r="E973" s="202"/>
      <c r="F973" s="202"/>
      <c r="G973" s="202"/>
      <c r="H973" s="177"/>
      <c r="I973" s="177"/>
      <c r="J973" s="177"/>
      <c r="K973" s="177"/>
      <c r="L973" s="177"/>
      <c r="M973" s="177"/>
      <c r="N973" s="177"/>
      <c r="O973" s="177"/>
      <c r="P973" s="177"/>
      <c r="Q973" s="177"/>
      <c r="R973" s="177"/>
      <c r="S973" s="177"/>
      <c r="T973" s="177"/>
      <c r="U973" s="177"/>
      <c r="V973" s="177"/>
      <c r="W973" s="177"/>
      <c r="X973" s="177"/>
      <c r="Y973" s="177"/>
      <c r="Z973" s="177"/>
      <c r="AA973" s="177"/>
      <c r="AB973" s="177"/>
      <c r="AC973" s="177"/>
      <c r="AD973" s="177"/>
      <c r="AE973" s="177"/>
    </row>
    <row r="974" spans="1:31" ht="13.5" thickBot="1">
      <c r="A974" s="202"/>
      <c r="B974" s="202"/>
      <c r="C974" s="202"/>
      <c r="D974" s="202"/>
      <c r="E974" s="202"/>
      <c r="F974" s="202"/>
      <c r="G974" s="202"/>
      <c r="H974" s="177"/>
      <c r="I974" s="177"/>
      <c r="J974" s="177"/>
      <c r="K974" s="177"/>
      <c r="L974" s="177"/>
      <c r="M974" s="177"/>
      <c r="N974" s="177"/>
      <c r="O974" s="177"/>
      <c r="P974" s="177"/>
      <c r="Q974" s="177"/>
      <c r="R974" s="177"/>
      <c r="S974" s="177"/>
      <c r="T974" s="177"/>
      <c r="U974" s="177"/>
      <c r="V974" s="177"/>
      <c r="W974" s="177"/>
      <c r="X974" s="177"/>
      <c r="Y974" s="177"/>
      <c r="Z974" s="177"/>
      <c r="AA974" s="177"/>
      <c r="AB974" s="177"/>
      <c r="AC974" s="177"/>
      <c r="AD974" s="177"/>
      <c r="AE974" s="177"/>
    </row>
    <row r="975" spans="1:31" ht="13.5" thickBot="1">
      <c r="A975" s="202"/>
      <c r="B975" s="202"/>
      <c r="C975" s="202"/>
      <c r="D975" s="202"/>
      <c r="E975" s="202"/>
      <c r="F975" s="202"/>
      <c r="G975" s="202"/>
      <c r="H975" s="177"/>
      <c r="I975" s="177"/>
      <c r="J975" s="177"/>
      <c r="K975" s="177"/>
      <c r="L975" s="177"/>
      <c r="M975" s="177"/>
      <c r="N975" s="177"/>
      <c r="O975" s="177"/>
      <c r="P975" s="177"/>
      <c r="Q975" s="177"/>
      <c r="R975" s="177"/>
      <c r="S975" s="177"/>
      <c r="T975" s="177"/>
      <c r="U975" s="177"/>
      <c r="V975" s="177"/>
      <c r="W975" s="177"/>
      <c r="X975" s="177"/>
      <c r="Y975" s="177"/>
      <c r="Z975" s="177"/>
      <c r="AA975" s="177"/>
      <c r="AB975" s="177"/>
      <c r="AC975" s="177"/>
      <c r="AD975" s="177"/>
      <c r="AE975" s="177"/>
    </row>
    <row r="976" spans="1:31" ht="13.5" thickBot="1">
      <c r="A976" s="202"/>
      <c r="B976" s="202"/>
      <c r="C976" s="202"/>
      <c r="D976" s="202"/>
      <c r="E976" s="202"/>
      <c r="F976" s="202"/>
      <c r="G976" s="202"/>
      <c r="H976" s="177"/>
      <c r="I976" s="177"/>
      <c r="J976" s="177"/>
      <c r="K976" s="177"/>
      <c r="L976" s="177"/>
      <c r="M976" s="177"/>
      <c r="N976" s="177"/>
      <c r="O976" s="177"/>
      <c r="P976" s="177"/>
      <c r="Q976" s="177"/>
      <c r="R976" s="177"/>
      <c r="S976" s="177"/>
      <c r="T976" s="177"/>
      <c r="U976" s="177"/>
      <c r="V976" s="177"/>
      <c r="W976" s="177"/>
      <c r="X976" s="177"/>
      <c r="Y976" s="177"/>
      <c r="Z976" s="177"/>
      <c r="AA976" s="177"/>
      <c r="AB976" s="177"/>
      <c r="AC976" s="177"/>
      <c r="AD976" s="177"/>
      <c r="AE976" s="177"/>
    </row>
    <row r="977" spans="1:31" ht="13.5" thickBot="1">
      <c r="A977" s="202"/>
      <c r="B977" s="202"/>
      <c r="C977" s="202"/>
      <c r="D977" s="202"/>
      <c r="E977" s="202"/>
      <c r="F977" s="202"/>
      <c r="G977" s="202"/>
      <c r="H977" s="177"/>
      <c r="I977" s="177"/>
      <c r="J977" s="177"/>
      <c r="K977" s="177"/>
      <c r="L977" s="177"/>
      <c r="M977" s="177"/>
      <c r="N977" s="177"/>
      <c r="O977" s="177"/>
      <c r="P977" s="177"/>
      <c r="Q977" s="177"/>
      <c r="R977" s="177"/>
      <c r="S977" s="177"/>
      <c r="T977" s="177"/>
      <c r="U977" s="177"/>
      <c r="V977" s="177"/>
      <c r="W977" s="177"/>
      <c r="X977" s="177"/>
      <c r="Y977" s="177"/>
      <c r="Z977" s="177"/>
      <c r="AA977" s="177"/>
      <c r="AB977" s="177"/>
      <c r="AC977" s="177"/>
      <c r="AD977" s="177"/>
      <c r="AE977" s="177"/>
    </row>
    <row r="978" spans="1:31" ht="13.5" thickBot="1">
      <c r="A978" s="202"/>
      <c r="B978" s="202"/>
      <c r="C978" s="202"/>
      <c r="D978" s="202"/>
      <c r="E978" s="202"/>
      <c r="F978" s="202"/>
      <c r="G978" s="202"/>
      <c r="H978" s="177"/>
      <c r="I978" s="177"/>
      <c r="J978" s="177"/>
      <c r="K978" s="177"/>
      <c r="L978" s="177"/>
      <c r="M978" s="177"/>
      <c r="N978" s="177"/>
      <c r="O978" s="177"/>
      <c r="P978" s="177"/>
      <c r="Q978" s="177"/>
      <c r="R978" s="177"/>
      <c r="S978" s="177"/>
      <c r="T978" s="177"/>
      <c r="U978" s="177"/>
      <c r="V978" s="177"/>
      <c r="W978" s="177"/>
      <c r="X978" s="177"/>
      <c r="Y978" s="177"/>
      <c r="Z978" s="177"/>
      <c r="AA978" s="177"/>
      <c r="AB978" s="177"/>
      <c r="AC978" s="177"/>
      <c r="AD978" s="177"/>
      <c r="AE978" s="177"/>
    </row>
    <row r="979" spans="1:31" ht="13.5" thickBot="1">
      <c r="A979" s="202"/>
      <c r="B979" s="202"/>
      <c r="C979" s="202"/>
      <c r="D979" s="202"/>
      <c r="E979" s="202"/>
      <c r="F979" s="202"/>
      <c r="G979" s="202"/>
      <c r="H979" s="177"/>
      <c r="I979" s="177"/>
      <c r="J979" s="177"/>
      <c r="K979" s="177"/>
      <c r="L979" s="177"/>
      <c r="M979" s="177"/>
      <c r="N979" s="177"/>
      <c r="O979" s="177"/>
      <c r="P979" s="177"/>
      <c r="Q979" s="177"/>
      <c r="R979" s="177"/>
      <c r="S979" s="177"/>
      <c r="T979" s="177"/>
      <c r="U979" s="177"/>
      <c r="V979" s="177"/>
      <c r="W979" s="177"/>
      <c r="X979" s="177"/>
      <c r="Y979" s="177"/>
      <c r="Z979" s="177"/>
      <c r="AA979" s="177"/>
      <c r="AB979" s="177"/>
      <c r="AC979" s="177"/>
      <c r="AD979" s="177"/>
      <c r="AE979" s="177"/>
    </row>
    <row r="980" spans="1:31" ht="13.5" thickBot="1">
      <c r="A980" s="202"/>
      <c r="B980" s="202"/>
      <c r="C980" s="202"/>
      <c r="D980" s="202"/>
      <c r="E980" s="202"/>
      <c r="F980" s="202"/>
      <c r="G980" s="202"/>
      <c r="H980" s="177"/>
      <c r="I980" s="177"/>
      <c r="J980" s="177"/>
      <c r="K980" s="177"/>
      <c r="L980" s="177"/>
      <c r="M980" s="177"/>
      <c r="N980" s="177"/>
      <c r="O980" s="177"/>
      <c r="P980" s="177"/>
      <c r="Q980" s="177"/>
      <c r="R980" s="177"/>
      <c r="S980" s="177"/>
      <c r="T980" s="177"/>
      <c r="U980" s="177"/>
      <c r="V980" s="177"/>
      <c r="W980" s="177"/>
      <c r="X980" s="177"/>
      <c r="Y980" s="177"/>
      <c r="Z980" s="177"/>
      <c r="AA980" s="177"/>
      <c r="AB980" s="177"/>
      <c r="AC980" s="177"/>
      <c r="AD980" s="177"/>
      <c r="AE980" s="177"/>
    </row>
    <row r="981" spans="1:31" ht="13.5" thickBot="1">
      <c r="A981" s="202"/>
      <c r="B981" s="202"/>
      <c r="C981" s="202"/>
      <c r="D981" s="202"/>
      <c r="E981" s="202"/>
      <c r="F981" s="202"/>
      <c r="G981" s="202"/>
      <c r="H981" s="177"/>
      <c r="I981" s="177"/>
      <c r="J981" s="177"/>
      <c r="K981" s="177"/>
      <c r="L981" s="177"/>
      <c r="M981" s="177"/>
      <c r="N981" s="177"/>
      <c r="O981" s="177"/>
      <c r="P981" s="177"/>
      <c r="Q981" s="177"/>
      <c r="R981" s="177"/>
      <c r="S981" s="177"/>
      <c r="T981" s="177"/>
      <c r="U981" s="177"/>
      <c r="V981" s="177"/>
      <c r="W981" s="177"/>
      <c r="X981" s="177"/>
      <c r="Y981" s="177"/>
      <c r="Z981" s="177"/>
      <c r="AA981" s="177"/>
      <c r="AB981" s="177"/>
      <c r="AC981" s="177"/>
      <c r="AD981" s="177"/>
      <c r="AE981" s="177"/>
    </row>
    <row r="982" spans="1:31" ht="13.5" thickBot="1">
      <c r="A982" s="202"/>
      <c r="B982" s="202"/>
      <c r="C982" s="202"/>
      <c r="D982" s="202"/>
      <c r="E982" s="202"/>
      <c r="F982" s="202"/>
      <c r="G982" s="202"/>
      <c r="H982" s="177"/>
      <c r="I982" s="177"/>
      <c r="J982" s="177"/>
      <c r="K982" s="177"/>
      <c r="L982" s="177"/>
      <c r="M982" s="177"/>
      <c r="N982" s="177"/>
      <c r="O982" s="177"/>
      <c r="P982" s="177"/>
      <c r="Q982" s="177"/>
      <c r="R982" s="177"/>
      <c r="S982" s="177"/>
      <c r="T982" s="177"/>
      <c r="U982" s="177"/>
      <c r="V982" s="177"/>
      <c r="W982" s="177"/>
      <c r="X982" s="177"/>
      <c r="Y982" s="177"/>
      <c r="Z982" s="177"/>
      <c r="AA982" s="177"/>
      <c r="AB982" s="177"/>
      <c r="AC982" s="177"/>
      <c r="AD982" s="177"/>
      <c r="AE982" s="177"/>
    </row>
    <row r="983" spans="1:31" ht="13.5" thickBot="1">
      <c r="A983" s="202"/>
      <c r="B983" s="202"/>
      <c r="C983" s="202"/>
      <c r="D983" s="202"/>
      <c r="E983" s="202"/>
      <c r="F983" s="202"/>
      <c r="G983" s="202"/>
      <c r="H983" s="177"/>
      <c r="I983" s="177"/>
      <c r="J983" s="177"/>
      <c r="K983" s="177"/>
      <c r="L983" s="177"/>
      <c r="M983" s="177"/>
      <c r="N983" s="177"/>
      <c r="O983" s="177"/>
      <c r="P983" s="177"/>
      <c r="Q983" s="177"/>
      <c r="R983" s="177"/>
      <c r="S983" s="177"/>
      <c r="T983" s="177"/>
      <c r="U983" s="177"/>
      <c r="V983" s="177"/>
      <c r="W983" s="177"/>
      <c r="X983" s="177"/>
      <c r="Y983" s="177"/>
      <c r="Z983" s="177"/>
      <c r="AA983" s="177"/>
      <c r="AB983" s="177"/>
      <c r="AC983" s="177"/>
      <c r="AD983" s="177"/>
      <c r="AE983" s="177"/>
    </row>
    <row r="984" spans="1:31" ht="13.5" thickBot="1">
      <c r="A984" s="202"/>
      <c r="B984" s="202"/>
      <c r="C984" s="202"/>
      <c r="D984" s="202"/>
      <c r="E984" s="202"/>
      <c r="F984" s="202"/>
      <c r="G984" s="202"/>
      <c r="H984" s="177"/>
      <c r="I984" s="177"/>
      <c r="J984" s="177"/>
      <c r="K984" s="177"/>
      <c r="L984" s="177"/>
      <c r="M984" s="177"/>
      <c r="N984" s="177"/>
      <c r="O984" s="177"/>
      <c r="P984" s="177"/>
      <c r="Q984" s="177"/>
      <c r="R984" s="177"/>
      <c r="S984" s="177"/>
      <c r="T984" s="177"/>
      <c r="U984" s="177"/>
      <c r="V984" s="177"/>
      <c r="W984" s="177"/>
      <c r="X984" s="177"/>
      <c r="Y984" s="177"/>
      <c r="Z984" s="177"/>
      <c r="AA984" s="177"/>
      <c r="AB984" s="177"/>
      <c r="AC984" s="177"/>
      <c r="AD984" s="177"/>
      <c r="AE984" s="177"/>
    </row>
    <row r="985" spans="1:31" ht="13.5" thickBot="1">
      <c r="A985" s="202"/>
      <c r="B985" s="202"/>
      <c r="C985" s="202"/>
      <c r="D985" s="202"/>
      <c r="E985" s="202"/>
      <c r="F985" s="202"/>
      <c r="G985" s="202"/>
      <c r="H985" s="177"/>
      <c r="I985" s="177"/>
      <c r="J985" s="177"/>
      <c r="K985" s="177"/>
      <c r="L985" s="177"/>
      <c r="M985" s="177"/>
      <c r="N985" s="177"/>
      <c r="O985" s="177"/>
      <c r="P985" s="177"/>
      <c r="Q985" s="177"/>
      <c r="R985" s="177"/>
      <c r="S985" s="177"/>
      <c r="T985" s="177"/>
      <c r="U985" s="177"/>
      <c r="V985" s="177"/>
      <c r="W985" s="177"/>
      <c r="X985" s="177"/>
      <c r="Y985" s="177"/>
      <c r="Z985" s="177"/>
      <c r="AA985" s="177"/>
      <c r="AB985" s="177"/>
      <c r="AC985" s="177"/>
      <c r="AD985" s="177"/>
      <c r="AE985" s="177"/>
    </row>
    <row r="986" spans="1:31" ht="13.5" thickBot="1">
      <c r="A986" s="202"/>
      <c r="B986" s="202"/>
      <c r="C986" s="202"/>
      <c r="D986" s="202"/>
      <c r="E986" s="202"/>
      <c r="F986" s="202"/>
      <c r="G986" s="202"/>
      <c r="H986" s="177"/>
      <c r="I986" s="177"/>
      <c r="J986" s="177"/>
      <c r="K986" s="177"/>
      <c r="L986" s="177"/>
      <c r="M986" s="177"/>
      <c r="N986" s="177"/>
      <c r="O986" s="177"/>
      <c r="P986" s="177"/>
      <c r="Q986" s="177"/>
      <c r="R986" s="177"/>
      <c r="S986" s="177"/>
      <c r="T986" s="177"/>
      <c r="U986" s="177"/>
      <c r="V986" s="177"/>
      <c r="W986" s="177"/>
      <c r="X986" s="177"/>
      <c r="Y986" s="177"/>
      <c r="Z986" s="177"/>
      <c r="AA986" s="177"/>
      <c r="AB986" s="177"/>
      <c r="AC986" s="177"/>
      <c r="AD986" s="177"/>
      <c r="AE986" s="177"/>
    </row>
    <row r="987" spans="1:31" ht="13.5" thickBot="1">
      <c r="A987" s="202"/>
      <c r="B987" s="202"/>
      <c r="C987" s="202"/>
      <c r="D987" s="202"/>
      <c r="E987" s="202"/>
      <c r="F987" s="202"/>
      <c r="G987" s="202"/>
      <c r="H987" s="177"/>
      <c r="I987" s="177"/>
      <c r="J987" s="177"/>
      <c r="K987" s="177"/>
      <c r="L987" s="177"/>
      <c r="M987" s="177"/>
      <c r="N987" s="177"/>
      <c r="O987" s="177"/>
      <c r="P987" s="177"/>
      <c r="Q987" s="177"/>
      <c r="R987" s="177"/>
      <c r="S987" s="177"/>
      <c r="T987" s="177"/>
      <c r="U987" s="177"/>
      <c r="V987" s="177"/>
      <c r="W987" s="177"/>
      <c r="X987" s="177"/>
      <c r="Y987" s="177"/>
      <c r="Z987" s="177"/>
      <c r="AA987" s="177"/>
      <c r="AB987" s="177"/>
      <c r="AC987" s="177"/>
      <c r="AD987" s="177"/>
      <c r="AE987" s="177"/>
    </row>
    <row r="988" spans="1:31" ht="13.5" thickBot="1">
      <c r="A988" s="202"/>
      <c r="B988" s="202"/>
      <c r="C988" s="202"/>
      <c r="D988" s="202"/>
      <c r="E988" s="202"/>
      <c r="F988" s="202"/>
      <c r="G988" s="202"/>
      <c r="H988" s="177"/>
      <c r="I988" s="177"/>
      <c r="J988" s="177"/>
      <c r="K988" s="177"/>
      <c r="L988" s="177"/>
      <c r="M988" s="177"/>
      <c r="N988" s="177"/>
      <c r="O988" s="177"/>
      <c r="P988" s="177"/>
      <c r="Q988" s="177"/>
      <c r="R988" s="177"/>
      <c r="S988" s="177"/>
      <c r="T988" s="177"/>
      <c r="U988" s="177"/>
      <c r="V988" s="177"/>
      <c r="W988" s="177"/>
      <c r="X988" s="177"/>
      <c r="Y988" s="177"/>
      <c r="Z988" s="177"/>
      <c r="AA988" s="177"/>
      <c r="AB988" s="177"/>
      <c r="AC988" s="177"/>
      <c r="AD988" s="177"/>
      <c r="AE988" s="177"/>
    </row>
    <row r="989" spans="1:31" ht="13.5" thickBot="1">
      <c r="A989" s="202"/>
      <c r="B989" s="202"/>
      <c r="C989" s="202"/>
      <c r="D989" s="202"/>
      <c r="E989" s="202"/>
      <c r="F989" s="202"/>
      <c r="G989" s="202"/>
      <c r="H989" s="177"/>
      <c r="I989" s="177"/>
      <c r="J989" s="177"/>
      <c r="K989" s="177"/>
      <c r="L989" s="177"/>
      <c r="M989" s="177"/>
      <c r="N989" s="177"/>
      <c r="O989" s="177"/>
      <c r="P989" s="177"/>
      <c r="Q989" s="177"/>
      <c r="R989" s="177"/>
      <c r="S989" s="177"/>
      <c r="T989" s="177"/>
      <c r="U989" s="177"/>
      <c r="V989" s="177"/>
      <c r="W989" s="177"/>
      <c r="X989" s="177"/>
      <c r="Y989" s="177"/>
      <c r="Z989" s="177"/>
      <c r="AA989" s="177"/>
      <c r="AB989" s="177"/>
      <c r="AC989" s="177"/>
      <c r="AD989" s="177"/>
      <c r="AE989" s="177"/>
    </row>
    <row r="990" spans="1:31" ht="13.5" thickBot="1">
      <c r="A990" s="202"/>
      <c r="B990" s="202"/>
      <c r="C990" s="202"/>
      <c r="D990" s="202"/>
      <c r="E990" s="202"/>
      <c r="F990" s="202"/>
      <c r="G990" s="202"/>
      <c r="H990" s="177"/>
      <c r="I990" s="177"/>
      <c r="J990" s="177"/>
      <c r="K990" s="177"/>
      <c r="L990" s="177"/>
      <c r="M990" s="177"/>
      <c r="N990" s="177"/>
      <c r="O990" s="177"/>
      <c r="P990" s="177"/>
      <c r="Q990" s="177"/>
      <c r="R990" s="177"/>
      <c r="S990" s="177"/>
      <c r="T990" s="177"/>
      <c r="U990" s="177"/>
      <c r="V990" s="177"/>
      <c r="W990" s="177"/>
      <c r="X990" s="177"/>
      <c r="Y990" s="177"/>
      <c r="Z990" s="177"/>
      <c r="AA990" s="177"/>
      <c r="AB990" s="177"/>
      <c r="AC990" s="177"/>
      <c r="AD990" s="177"/>
      <c r="AE990" s="177"/>
    </row>
    <row r="991" spans="1:31" ht="13.5" thickBot="1">
      <c r="A991" s="202"/>
      <c r="B991" s="202"/>
      <c r="C991" s="202"/>
      <c r="D991" s="202"/>
      <c r="E991" s="202"/>
      <c r="F991" s="202"/>
      <c r="G991" s="202"/>
      <c r="H991" s="177"/>
      <c r="I991" s="177"/>
      <c r="J991" s="177"/>
      <c r="K991" s="177"/>
      <c r="L991" s="177"/>
      <c r="M991" s="177"/>
      <c r="N991" s="177"/>
      <c r="O991" s="177"/>
      <c r="P991" s="177"/>
      <c r="Q991" s="177"/>
      <c r="R991" s="177"/>
      <c r="S991" s="177"/>
      <c r="T991" s="177"/>
      <c r="U991" s="177"/>
      <c r="V991" s="177"/>
      <c r="W991" s="177"/>
      <c r="X991" s="177"/>
      <c r="Y991" s="177"/>
      <c r="Z991" s="177"/>
      <c r="AA991" s="177"/>
      <c r="AB991" s="177"/>
      <c r="AC991" s="177"/>
      <c r="AD991" s="177"/>
      <c r="AE991" s="177"/>
    </row>
    <row r="992" spans="1:31" ht="13.5" thickBot="1">
      <c r="A992" s="202"/>
      <c r="B992" s="202"/>
      <c r="C992" s="202"/>
      <c r="D992" s="202"/>
      <c r="E992" s="202"/>
      <c r="F992" s="202"/>
      <c r="G992" s="202"/>
      <c r="H992" s="177"/>
      <c r="I992" s="177"/>
      <c r="J992" s="177"/>
      <c r="K992" s="177"/>
      <c r="L992" s="177"/>
      <c r="M992" s="177"/>
      <c r="N992" s="177"/>
      <c r="O992" s="177"/>
      <c r="P992" s="177"/>
      <c r="Q992" s="177"/>
      <c r="R992" s="177"/>
      <c r="S992" s="177"/>
      <c r="T992" s="177"/>
      <c r="U992" s="177"/>
      <c r="V992" s="177"/>
      <c r="W992" s="177"/>
      <c r="X992" s="177"/>
      <c r="Y992" s="177"/>
      <c r="Z992" s="177"/>
      <c r="AA992" s="177"/>
      <c r="AB992" s="177"/>
      <c r="AC992" s="177"/>
      <c r="AD992" s="177"/>
      <c r="AE992" s="177"/>
    </row>
    <row r="993" spans="1:31" ht="13.5" thickBot="1">
      <c r="A993" s="202"/>
      <c r="B993" s="202"/>
      <c r="C993" s="202"/>
      <c r="D993" s="202"/>
      <c r="E993" s="202"/>
      <c r="F993" s="202"/>
      <c r="G993" s="202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</row>
    <row r="994" spans="1:31" ht="13.5" thickBot="1">
      <c r="A994" s="177"/>
      <c r="B994" s="177"/>
      <c r="C994" s="177"/>
      <c r="D994" s="177"/>
      <c r="E994" s="177"/>
      <c r="F994" s="177"/>
      <c r="G994" s="177"/>
      <c r="H994" s="177"/>
      <c r="I994" s="177"/>
      <c r="J994" s="177"/>
      <c r="K994" s="177"/>
      <c r="L994" s="177"/>
      <c r="M994" s="177"/>
      <c r="N994" s="177"/>
      <c r="O994" s="177"/>
      <c r="P994" s="177"/>
      <c r="Q994" s="177"/>
      <c r="R994" s="177"/>
      <c r="S994" s="177"/>
      <c r="T994" s="177"/>
      <c r="U994" s="177"/>
      <c r="V994" s="177"/>
      <c r="W994" s="177"/>
      <c r="X994" s="177"/>
      <c r="Y994" s="177"/>
      <c r="Z994" s="177"/>
      <c r="AA994" s="177"/>
      <c r="AB994" s="177"/>
      <c r="AC994" s="177"/>
      <c r="AD994" s="177"/>
      <c r="AE994" s="177"/>
    </row>
    <row r="995" spans="1:31" ht="13.5" thickBot="1">
      <c r="A995" s="177"/>
      <c r="B995" s="177"/>
      <c r="C995" s="177"/>
      <c r="D995" s="177"/>
      <c r="E995" s="177"/>
      <c r="F995" s="177"/>
      <c r="G995" s="177"/>
      <c r="H995" s="177"/>
      <c r="I995" s="177"/>
      <c r="J995" s="177"/>
      <c r="K995" s="177"/>
      <c r="L995" s="177"/>
      <c r="M995" s="177"/>
      <c r="N995" s="177"/>
      <c r="O995" s="177"/>
      <c r="P995" s="177"/>
      <c r="Q995" s="177"/>
      <c r="R995" s="177"/>
      <c r="S995" s="177"/>
      <c r="T995" s="177"/>
      <c r="U995" s="177"/>
      <c r="V995" s="177"/>
      <c r="W995" s="177"/>
      <c r="X995" s="177"/>
      <c r="Y995" s="177"/>
      <c r="Z995" s="177"/>
      <c r="AA995" s="177"/>
      <c r="AB995" s="177"/>
      <c r="AC995" s="177"/>
      <c r="AD995" s="177"/>
      <c r="AE995" s="177"/>
    </row>
    <row r="996" spans="1:31" ht="13.5" thickBot="1">
      <c r="A996" s="177"/>
      <c r="B996" s="177"/>
      <c r="C996" s="177"/>
      <c r="D996" s="177"/>
      <c r="E996" s="177"/>
      <c r="F996" s="177"/>
      <c r="G996" s="177"/>
      <c r="H996" s="177"/>
      <c r="I996" s="177"/>
      <c r="J996" s="177"/>
      <c r="K996" s="177"/>
      <c r="L996" s="177"/>
      <c r="M996" s="177"/>
      <c r="N996" s="177"/>
      <c r="O996" s="177"/>
      <c r="P996" s="177"/>
      <c r="Q996" s="177"/>
      <c r="R996" s="177"/>
      <c r="S996" s="177"/>
      <c r="T996" s="177"/>
      <c r="U996" s="177"/>
      <c r="V996" s="177"/>
      <c r="W996" s="177"/>
      <c r="X996" s="177"/>
      <c r="Y996" s="177"/>
      <c r="Z996" s="177"/>
      <c r="AA996" s="177"/>
      <c r="AB996" s="177"/>
      <c r="AC996" s="177"/>
      <c r="AD996" s="177"/>
      <c r="AE996" s="177"/>
    </row>
    <row r="997" spans="1:31" ht="13.5" thickBot="1">
      <c r="A997" s="177"/>
      <c r="B997" s="177"/>
      <c r="C997" s="177"/>
      <c r="D997" s="177"/>
      <c r="E997" s="177"/>
      <c r="F997" s="177"/>
      <c r="G997" s="177"/>
      <c r="H997" s="177"/>
      <c r="I997" s="177"/>
      <c r="J997" s="177"/>
      <c r="K997" s="177"/>
      <c r="L997" s="177"/>
      <c r="M997" s="177"/>
      <c r="N997" s="177"/>
      <c r="O997" s="177"/>
      <c r="P997" s="177"/>
      <c r="Q997" s="177"/>
      <c r="R997" s="177"/>
      <c r="S997" s="177"/>
      <c r="T997" s="177"/>
      <c r="U997" s="177"/>
      <c r="V997" s="177"/>
      <c r="W997" s="177"/>
      <c r="X997" s="177"/>
      <c r="Y997" s="177"/>
      <c r="Z997" s="177"/>
      <c r="AA997" s="177"/>
      <c r="AB997" s="177"/>
      <c r="AC997" s="177"/>
      <c r="AD997" s="177"/>
      <c r="AE997" s="177"/>
    </row>
    <row r="998" spans="1:31" ht="13.5" thickBot="1">
      <c r="A998" s="177"/>
      <c r="B998" s="177"/>
      <c r="C998" s="177"/>
      <c r="D998" s="177"/>
      <c r="E998" s="177"/>
      <c r="F998" s="177"/>
      <c r="G998" s="177"/>
      <c r="H998" s="177"/>
      <c r="I998" s="177"/>
      <c r="J998" s="177"/>
      <c r="K998" s="177"/>
      <c r="L998" s="177"/>
      <c r="M998" s="177"/>
      <c r="N998" s="177"/>
      <c r="O998" s="177"/>
      <c r="P998" s="177"/>
      <c r="Q998" s="177"/>
      <c r="R998" s="177"/>
      <c r="S998" s="177"/>
      <c r="T998" s="177"/>
      <c r="U998" s="177"/>
      <c r="V998" s="177"/>
      <c r="W998" s="177"/>
      <c r="X998" s="177"/>
      <c r="Y998" s="177"/>
      <c r="Z998" s="177"/>
      <c r="AA998" s="177"/>
      <c r="AB998" s="177"/>
      <c r="AC998" s="177"/>
      <c r="AD998" s="177"/>
      <c r="AE998" s="177"/>
    </row>
    <row r="999" spans="1:31" ht="13.5" thickBot="1">
      <c r="A999" s="177"/>
      <c r="B999" s="177"/>
      <c r="C999" s="177"/>
      <c r="D999" s="177"/>
      <c r="E999" s="177"/>
      <c r="F999" s="177"/>
      <c r="G999" s="177"/>
      <c r="H999" s="177"/>
      <c r="I999" s="177"/>
      <c r="J999" s="177"/>
      <c r="K999" s="177"/>
      <c r="L999" s="177"/>
      <c r="M999" s="177"/>
      <c r="N999" s="177"/>
      <c r="O999" s="177"/>
      <c r="P999" s="177"/>
      <c r="Q999" s="177"/>
      <c r="R999" s="177"/>
      <c r="S999" s="177"/>
      <c r="T999" s="177"/>
      <c r="U999" s="177"/>
      <c r="V999" s="177"/>
      <c r="W999" s="177"/>
      <c r="X999" s="177"/>
      <c r="Y999" s="177"/>
      <c r="Z999" s="177"/>
      <c r="AA999" s="177"/>
      <c r="AB999" s="177"/>
      <c r="AC999" s="177"/>
      <c r="AD999" s="177"/>
      <c r="AE999" s="177"/>
    </row>
    <row r="1000" spans="1:31" ht="13.5" thickBot="1">
      <c r="A1000" s="177"/>
      <c r="B1000" s="177"/>
      <c r="C1000" s="177"/>
      <c r="D1000" s="177"/>
      <c r="E1000" s="177"/>
      <c r="F1000" s="177"/>
      <c r="G1000" s="177"/>
      <c r="H1000" s="177"/>
      <c r="I1000" s="177"/>
      <c r="J1000" s="177"/>
      <c r="K1000" s="177"/>
      <c r="L1000" s="177"/>
      <c r="M1000" s="177"/>
      <c r="N1000" s="177"/>
      <c r="O1000" s="177"/>
      <c r="P1000" s="177"/>
      <c r="Q1000" s="177"/>
      <c r="R1000" s="177"/>
      <c r="S1000" s="177"/>
      <c r="T1000" s="177"/>
      <c r="U1000" s="177"/>
      <c r="V1000" s="177"/>
      <c r="W1000" s="177"/>
      <c r="X1000" s="177"/>
      <c r="Y1000" s="177"/>
      <c r="Z1000" s="177"/>
      <c r="AA1000" s="177"/>
      <c r="AB1000" s="177"/>
      <c r="AC1000" s="177"/>
      <c r="AD1000" s="177"/>
      <c r="AE1000" s="177"/>
    </row>
  </sheetData>
  <mergeCells count="26">
    <mergeCell ref="C7:E7"/>
    <mergeCell ref="U8:V8"/>
    <mergeCell ref="W8:Y8"/>
    <mergeCell ref="Z8:AE8"/>
    <mergeCell ref="H8:I8"/>
    <mergeCell ref="J8:K8"/>
    <mergeCell ref="L8:M8"/>
    <mergeCell ref="N8:O8"/>
    <mergeCell ref="P8:Q8"/>
    <mergeCell ref="R8:S8"/>
    <mergeCell ref="A8:B8"/>
    <mergeCell ref="C8:E8"/>
    <mergeCell ref="A1:B1"/>
    <mergeCell ref="C1:E1"/>
    <mergeCell ref="G1:AE7"/>
    <mergeCell ref="A2:B2"/>
    <mergeCell ref="C2:E2"/>
    <mergeCell ref="A3:B3"/>
    <mergeCell ref="C3:E3"/>
    <mergeCell ref="A4:B4"/>
    <mergeCell ref="C4:E4"/>
    <mergeCell ref="A5:B5"/>
    <mergeCell ref="C5:E5"/>
    <mergeCell ref="A6:B6"/>
    <mergeCell ref="C6:E6"/>
    <mergeCell ref="A7:B7"/>
  </mergeCells>
  <conditionalFormatting sqref="AE60:AE61 AE64 AE55:AE57 AE52:AE53 AE38:AE40 AE36 AE32 AE26 AE24 AE18:AE21">
    <cfRule type="containsText" dxfId="69" priority="109" operator="containsText" text="Equiv">
      <formula>NOT(ISERROR(SEARCH("Equiv",AE18)))</formula>
    </cfRule>
    <cfRule type="cellIs" dxfId="68" priority="134" operator="equal">
      <formula>"Regular"</formula>
    </cfRule>
    <cfRule type="cellIs" dxfId="67" priority="135" operator="equal">
      <formula>"Prom"</formula>
    </cfRule>
    <cfRule type="cellIs" dxfId="66" priority="136" operator="equal">
      <formula>"Libre"</formula>
    </cfRule>
  </conditionalFormatting>
  <conditionalFormatting sqref="AE10">
    <cfRule type="containsText" dxfId="65" priority="81" operator="containsText" text="Equiv">
      <formula>NOT(ISERROR(SEARCH("Equiv",AE10)))</formula>
    </cfRule>
    <cfRule type="cellIs" dxfId="64" priority="82" operator="equal">
      <formula>"Regular"</formula>
    </cfRule>
    <cfRule type="cellIs" dxfId="63" priority="83" operator="equal">
      <formula>"Prom"</formula>
    </cfRule>
    <cfRule type="cellIs" dxfId="62" priority="84" operator="equal">
      <formula>"Libre"</formula>
    </cfRule>
  </conditionalFormatting>
  <conditionalFormatting sqref="AE17">
    <cfRule type="containsText" dxfId="61" priority="45" operator="containsText" text="Equiv">
      <formula>NOT(ISERROR(SEARCH("Equiv",AE17)))</formula>
    </cfRule>
    <cfRule type="cellIs" dxfId="60" priority="46" operator="equal">
      <formula>"Regular"</formula>
    </cfRule>
    <cfRule type="cellIs" dxfId="59" priority="47" operator="equal">
      <formula>"Prom"</formula>
    </cfRule>
    <cfRule type="cellIs" dxfId="58" priority="48" operator="equal">
      <formula>"Libre"</formula>
    </cfRule>
  </conditionalFormatting>
  <conditionalFormatting sqref="AE31">
    <cfRule type="containsText" dxfId="57" priority="41" operator="containsText" text="Equiv">
      <formula>NOT(ISERROR(SEARCH("Equiv",AE31)))</formula>
    </cfRule>
    <cfRule type="cellIs" dxfId="56" priority="42" operator="equal">
      <formula>"Regular"</formula>
    </cfRule>
    <cfRule type="cellIs" dxfId="55" priority="43" operator="equal">
      <formula>"Prom"</formula>
    </cfRule>
    <cfRule type="cellIs" dxfId="54" priority="44" operator="equal">
      <formula>"Libre"</formula>
    </cfRule>
  </conditionalFormatting>
  <conditionalFormatting sqref="AE34:AE35">
    <cfRule type="containsText" dxfId="53" priority="37" operator="containsText" text="Equiv">
      <formula>NOT(ISERROR(SEARCH("Equiv",AE34)))</formula>
    </cfRule>
    <cfRule type="cellIs" dxfId="52" priority="38" operator="equal">
      <formula>"Regular"</formula>
    </cfRule>
    <cfRule type="cellIs" dxfId="51" priority="39" operator="equal">
      <formula>"Prom"</formula>
    </cfRule>
    <cfRule type="cellIs" dxfId="50" priority="40" operator="equal">
      <formula>"Libre"</formula>
    </cfRule>
  </conditionalFormatting>
  <conditionalFormatting sqref="AE54">
    <cfRule type="containsText" dxfId="49" priority="33" operator="containsText" text="Equiv">
      <formula>NOT(ISERROR(SEARCH("Equiv",AE54)))</formula>
    </cfRule>
    <cfRule type="cellIs" dxfId="48" priority="34" operator="equal">
      <formula>"Regular"</formula>
    </cfRule>
    <cfRule type="cellIs" dxfId="47" priority="35" operator="equal">
      <formula>"Prom"</formula>
    </cfRule>
    <cfRule type="cellIs" dxfId="46" priority="36" operator="equal">
      <formula>"Libre"</formula>
    </cfRule>
  </conditionalFormatting>
  <conditionalFormatting sqref="AE62">
    <cfRule type="containsText" dxfId="45" priority="29" operator="containsText" text="Equiv">
      <formula>NOT(ISERROR(SEARCH("Equiv",AE62)))</formula>
    </cfRule>
    <cfRule type="cellIs" dxfId="44" priority="30" operator="equal">
      <formula>"Regular"</formula>
    </cfRule>
    <cfRule type="cellIs" dxfId="43" priority="31" operator="equal">
      <formula>"Prom"</formula>
    </cfRule>
    <cfRule type="cellIs" dxfId="42" priority="32" operator="equal">
      <formula>"Libre"</formula>
    </cfRule>
  </conditionalFormatting>
  <conditionalFormatting sqref="AE27:AE28 AE30 AE41:AE47 AE49:AE50">
    <cfRule type="containsText" dxfId="41" priority="25" operator="containsText" text="Equiv">
      <formula>NOT(ISERROR(SEARCH("Equiv",AE27)))</formula>
    </cfRule>
    <cfRule type="cellIs" dxfId="40" priority="26" operator="equal">
      <formula>"Regular"</formula>
    </cfRule>
    <cfRule type="cellIs" dxfId="39" priority="27" operator="equal">
      <formula>"Prom"</formula>
    </cfRule>
    <cfRule type="cellIs" dxfId="38" priority="28" operator="equal">
      <formula>"Libre"</formula>
    </cfRule>
  </conditionalFormatting>
  <conditionalFormatting sqref="AE11:AE16">
    <cfRule type="containsText" dxfId="37" priority="21" operator="containsText" text="Equiv">
      <formula>NOT(ISERROR(SEARCH("Equiv",AE11)))</formula>
    </cfRule>
    <cfRule type="cellIs" dxfId="36" priority="22" operator="equal">
      <formula>"Regular"</formula>
    </cfRule>
    <cfRule type="cellIs" dxfId="35" priority="23" operator="equal">
      <formula>"Prom"</formula>
    </cfRule>
    <cfRule type="cellIs" dxfId="34" priority="24" operator="equal">
      <formula>"Libre"</formula>
    </cfRule>
  </conditionalFormatting>
  <conditionalFormatting sqref="AE51 AE37 AE33 AE29 AE25 AE22:AE23">
    <cfRule type="containsText" dxfId="33" priority="17" operator="containsText" text="Equiv">
      <formula>NOT(ISERROR(SEARCH("Equiv",AE22)))</formula>
    </cfRule>
    <cfRule type="cellIs" dxfId="32" priority="18" operator="equal">
      <formula>"Regular"</formula>
    </cfRule>
    <cfRule type="cellIs" dxfId="31" priority="19" operator="equal">
      <formula>"Prom"</formula>
    </cfRule>
    <cfRule type="cellIs" dxfId="30" priority="20" operator="equal">
      <formula>"Libre"</formula>
    </cfRule>
  </conditionalFormatting>
  <conditionalFormatting sqref="AE59">
    <cfRule type="containsText" dxfId="29" priority="13" operator="containsText" text="Equiv">
      <formula>NOT(ISERROR(SEARCH("Equiv",AE59)))</formula>
    </cfRule>
    <cfRule type="cellIs" dxfId="28" priority="14" operator="equal">
      <formula>"Regular"</formula>
    </cfRule>
    <cfRule type="cellIs" dxfId="27" priority="15" operator="equal">
      <formula>"Prom"</formula>
    </cfRule>
    <cfRule type="cellIs" dxfId="26" priority="16" operator="equal">
      <formula>"Libre"</formula>
    </cfRule>
  </conditionalFormatting>
  <conditionalFormatting sqref="AE58">
    <cfRule type="containsText" dxfId="25" priority="9" operator="containsText" text="Equiv">
      <formula>NOT(ISERROR(SEARCH("Equiv",AE58)))</formula>
    </cfRule>
    <cfRule type="cellIs" dxfId="24" priority="10" operator="equal">
      <formula>"Regular"</formula>
    </cfRule>
    <cfRule type="cellIs" dxfId="23" priority="11" operator="equal">
      <formula>"Prom"</formula>
    </cfRule>
    <cfRule type="cellIs" dxfId="22" priority="12" operator="equal">
      <formula>"Libre"</formula>
    </cfRule>
  </conditionalFormatting>
  <conditionalFormatting sqref="AE65 AE63">
    <cfRule type="containsText" dxfId="21" priority="5" operator="containsText" text="Equiv">
      <formula>NOT(ISERROR(SEARCH("Equiv",AE63)))</formula>
    </cfRule>
    <cfRule type="cellIs" dxfId="20" priority="6" operator="equal">
      <formula>"Regular"</formula>
    </cfRule>
    <cfRule type="cellIs" dxfId="19" priority="7" operator="equal">
      <formula>"Prom"</formula>
    </cfRule>
    <cfRule type="cellIs" dxfId="18" priority="8" operator="equal">
      <formula>"Libre"</formula>
    </cfRule>
  </conditionalFormatting>
  <conditionalFormatting sqref="AE48">
    <cfRule type="containsText" dxfId="17" priority="1" operator="containsText" text="Equiv">
      <formula>NOT(ISERROR(SEARCH("Equiv",AE48)))</formula>
    </cfRule>
    <cfRule type="cellIs" dxfId="16" priority="2" operator="equal">
      <formula>"Regular"</formula>
    </cfRule>
    <cfRule type="cellIs" dxfId="15" priority="3" operator="equal">
      <formula>"Prom"</formula>
    </cfRule>
    <cfRule type="cellIs" dxfId="14" priority="4" operator="equal">
      <formula>"Libre"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F6DCE2-DB9E-47C1-B3E5-8625A0273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INICIO</vt:lpstr>
      <vt:lpstr>CORRELATIVOS</vt:lpstr>
      <vt:lpstr>CERTIFICADOS</vt:lpstr>
      <vt:lpstr>COOPERADORA</vt:lpstr>
      <vt:lpstr>CODIGO PROGRAMACION</vt:lpstr>
      <vt:lpstr>SALIDA EDUCATIVA</vt:lpstr>
      <vt:lpstr>BASE DE ESTUDIANTES</vt:lpstr>
      <vt:lpstr>MATERIAS </vt:lpstr>
      <vt:lpstr>BASE DE DATOS</vt:lpstr>
      <vt:lpstr>CERTIFICADOS!Área_de_impresión</vt:lpstr>
      <vt:lpstr>TIPOS</vt:lpstr>
      <vt:lpstr>TITULOS</vt:lpstr>
    </vt:vector>
  </TitlesOfParts>
  <Company>Rainbow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Calderon</dc:creator>
  <cp:lastModifiedBy>Gabriel Martin</cp:lastModifiedBy>
  <cp:lastPrinted>2023-10-19T11:21:12Z</cp:lastPrinted>
  <dcterms:created xsi:type="dcterms:W3CDTF">2000-06-20T23:32:26Z</dcterms:created>
  <dcterms:modified xsi:type="dcterms:W3CDTF">2024-02-15T23:26:11Z</dcterms:modified>
</cp:coreProperties>
</file>