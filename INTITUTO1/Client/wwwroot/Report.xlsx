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source\repos\ITSC-Sistema-prueba2\INTITUTO1\Client\wwwroot\"/>
    </mc:Choice>
  </mc:AlternateContent>
  <xr:revisionPtr revIDLastSave="0" documentId="8_{B61035E9-206D-413F-8A8D-F1668A536AA5}" xr6:coauthVersionLast="47" xr6:coauthVersionMax="47" xr10:uidLastSave="{00000000-0000-0000-0000-000000000000}"/>
  <bookViews>
    <workbookView xWindow="-108" yWindow="-108" windowWidth="23256" windowHeight="12456" xr2:uid="{4F3C0A9B-0770-478A-B694-BE649F049840}"/>
  </bookViews>
  <sheets>
    <sheet name="Certificado" sheetId="1" r:id="rId1"/>
  </sheets>
  <externalReferences>
    <externalReference r:id="rId2"/>
  </externalReferences>
  <definedNames>
    <definedName name="TIPOS">Certificado!$P$23:$P$25</definedName>
    <definedName name="TITULOS">Certificado!$P$17:$P$19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B72" i="1"/>
  <c r="B71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B70" i="1" s="1"/>
  <c r="A27" i="1"/>
  <c r="K23" i="1"/>
  <c r="K21" i="1"/>
  <c r="B67" i="1" l="1"/>
</calcChain>
</file>

<file path=xl/sharedStrings.xml><?xml version="1.0" encoding="utf-8"?>
<sst xmlns="http://schemas.openxmlformats.org/spreadsheetml/2006/main" count="116" uniqueCount="62">
  <si>
    <r>
      <rPr>
        <b/>
        <sz val="10"/>
        <rFont val="Tahoma"/>
        <family val="2"/>
      </rPr>
      <t>REPUBLICA ARGENTINA</t>
    </r>
    <r>
      <rPr>
        <sz val="10"/>
        <rFont val="Tahoma"/>
        <family val="2"/>
      </rPr>
      <t xml:space="preserve">
LEY DE EDUCACION NACIONAL Nº 26.206
</t>
    </r>
    <r>
      <rPr>
        <b/>
        <sz val="10"/>
        <rFont val="Tahoma"/>
        <family val="2"/>
      </rPr>
      <t>MINISTERIO DE EDUCACION DE LA PROVINCIA DE CORDOBA</t>
    </r>
    <r>
      <rPr>
        <sz val="10"/>
        <rFont val="Tahoma"/>
        <family val="2"/>
      </rPr>
      <t xml:space="preserve">
LEY DE EDUCACION PROVINCIAL N.º 8113 
</t>
    </r>
    <r>
      <rPr>
        <b/>
        <sz val="10"/>
        <rFont val="Tahoma"/>
        <family val="2"/>
      </rPr>
      <t>DIRECCION GENERAL DE EDUCACION TÉCNICA Y FORMACIÓN PROFESIONAL</t>
    </r>
  </si>
  <si>
    <t>Instituto Técnico Superior Córdoba</t>
  </si>
  <si>
    <t>Tecnicatura Superior en Óptica y Contactología</t>
  </si>
  <si>
    <t>CERTIFICADO MATERIAS APROBADAS - ESTUDIANTE REGULAR</t>
  </si>
  <si>
    <t>Apellido y Nombre</t>
  </si>
  <si>
    <t>Tipo Doc.:</t>
  </si>
  <si>
    <t>Legajo:</t>
  </si>
  <si>
    <t>Nro. Doc.:</t>
  </si>
  <si>
    <t>Fecha de Nacimiento:</t>
  </si>
  <si>
    <t>Lugar de Nacimiento:</t>
  </si>
  <si>
    <t>Libro Matriz:</t>
  </si>
  <si>
    <t>Ciud. Ddto. Prov. Pais.</t>
  </si>
  <si>
    <t>Teléfono:</t>
  </si>
  <si>
    <t>Folio:</t>
  </si>
  <si>
    <t>Título Habilitante:</t>
  </si>
  <si>
    <t>CALIFICACIONES PRIMER AÑO</t>
  </si>
  <si>
    <t>Establecimiento</t>
  </si>
  <si>
    <t>ASIGNATURAS</t>
  </si>
  <si>
    <t>Nota</t>
  </si>
  <si>
    <t>Acta</t>
  </si>
  <si>
    <t>Aprobado el:</t>
  </si>
  <si>
    <t>Condición</t>
  </si>
  <si>
    <t>Sede</t>
  </si>
  <si>
    <t>Número</t>
  </si>
  <si>
    <t>Letras</t>
  </si>
  <si>
    <t>Libro</t>
  </si>
  <si>
    <t>Folio</t>
  </si>
  <si>
    <t>Día</t>
  </si>
  <si>
    <t>Mes</t>
  </si>
  <si>
    <t>Año</t>
  </si>
  <si>
    <t>Reg/Prom/Libre</t>
  </si>
  <si>
    <t>CENTRAL / NORTE</t>
  </si>
  <si>
    <t>Elementos de matemática y lógica</t>
  </si>
  <si>
    <t>Sistemas y organizaciones</t>
  </si>
  <si>
    <t>Programación I</t>
  </si>
  <si>
    <t>Base de datos</t>
  </si>
  <si>
    <t>Aproximación al mundo del trabajo</t>
  </si>
  <si>
    <t>Competencias Comunicacionales I</t>
  </si>
  <si>
    <t>Arquitectura de las computadoras</t>
  </si>
  <si>
    <t>Competencias Comunicacionales II</t>
  </si>
  <si>
    <t>Etica y deontología profesional</t>
  </si>
  <si>
    <t>CALIFICACIONES SEGUNDO AÑO</t>
  </si>
  <si>
    <t>Inglés</t>
  </si>
  <si>
    <t>Estadística y probabilidad aplicadas</t>
  </si>
  <si>
    <t>Modelado y Arquitectura de Software</t>
  </si>
  <si>
    <t>Programación II</t>
  </si>
  <si>
    <t>Práctica Profesionalizante I</t>
  </si>
  <si>
    <t>Sistemas operativos</t>
  </si>
  <si>
    <t>Redes</t>
  </si>
  <si>
    <t>CALIFICACIONES TERCER AÑO</t>
  </si>
  <si>
    <t>Interfaz de usuario</t>
  </si>
  <si>
    <t>Ingenieria de software</t>
  </si>
  <si>
    <t>Programación III</t>
  </si>
  <si>
    <t>Práctica Profesionalizante II</t>
  </si>
  <si>
    <t>Gestión de proyectos</t>
  </si>
  <si>
    <t>Verificación y Validación de programas</t>
  </si>
  <si>
    <t>Promedio General:</t>
  </si>
  <si>
    <t>PRIMER AÑO</t>
  </si>
  <si>
    <t>SEGUNDO AÑO</t>
  </si>
  <si>
    <t>TERCER AÑO</t>
  </si>
  <si>
    <t>Para constancia y a petición del/la interesado/a se expide el presente para ser presentado a los fines que hubiere lugar, sin raspaduras ni enmiendas en la ciudad de Córdoba de la Provincia de Córdoba, República Argentina.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</si>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</sst>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dd&quot; - &quot;mmmm&quot; - &quot;yyyy"/>
    <numFmt numFmtId="166" formatCode="dd&quot; - &quot;mmmm&quot; - &quot;\y\y\y\y"/>
    <numFmt numFmtId="167" formatCode="d"/>
    <numFmt numFmtId="168" formatCode="yyyy"/>
    <numFmt numFmtId="169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ahoma"/>
      <family val="2"/>
    </font>
    <font>
      <b/>
      <sz val="8"/>
      <name val="Verdana"/>
      <family val="2"/>
    </font>
    <font>
      <b/>
      <sz val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24"/>
      <color theme="3" tint="0.39997558519241921"/>
      <name val="Times New Roman"/>
      <family val="1"/>
    </font>
    <font>
      <sz val="24"/>
      <color rgb="FFFF0000"/>
      <name val="Times New Roman"/>
      <family val="1"/>
    </font>
    <font>
      <b/>
      <sz val="11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9"/>
      <name val="Verdana"/>
      <family val="2"/>
    </font>
    <font>
      <sz val="7"/>
      <name val="Verdan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i/>
      <sz val="8"/>
      <name val="Tahoma"/>
      <family val="2"/>
    </font>
    <font>
      <u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12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12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right"/>
    </xf>
    <xf numFmtId="0" fontId="10" fillId="0" borderId="0" xfId="3" applyFont="1"/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2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167" fontId="16" fillId="2" borderId="5" xfId="0" applyNumberFormat="1" applyFont="1" applyFill="1" applyBorder="1" applyAlignment="1">
      <alignment horizontal="center" vertical="center"/>
    </xf>
    <xf numFmtId="168" fontId="16" fillId="2" borderId="5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7" fillId="0" borderId="0" xfId="0" applyFont="1"/>
    <xf numFmtId="0" fontId="3" fillId="0" borderId="13" xfId="0" applyFont="1" applyBorder="1"/>
    <xf numFmtId="2" fontId="11" fillId="0" borderId="14" xfId="0" applyNumberFormat="1" applyFont="1" applyBorder="1" applyAlignment="1">
      <alignment horizontal="center"/>
    </xf>
    <xf numFmtId="0" fontId="2" fillId="0" borderId="15" xfId="0" applyFont="1" applyBorder="1"/>
    <xf numFmtId="0" fontId="2" fillId="2" borderId="15" xfId="0" applyFont="1" applyFill="1" applyBorder="1"/>
    <xf numFmtId="0" fontId="2" fillId="2" borderId="0" xfId="0" applyFont="1" applyFill="1"/>
    <xf numFmtId="0" fontId="3" fillId="0" borderId="16" xfId="0" applyFont="1" applyBorder="1"/>
    <xf numFmtId="0" fontId="11" fillId="0" borderId="17" xfId="0" applyFont="1" applyBorder="1" applyAlignment="1">
      <alignment horizontal="center"/>
    </xf>
    <xf numFmtId="0" fontId="3" fillId="0" borderId="18" xfId="0" applyFont="1" applyBorder="1"/>
    <xf numFmtId="0" fontId="11" fillId="0" borderId="19" xfId="0" applyFont="1" applyBorder="1" applyAlignment="1">
      <alignment horizontal="center"/>
    </xf>
    <xf numFmtId="0" fontId="3" fillId="0" borderId="20" xfId="0" applyFont="1" applyBorder="1"/>
    <xf numFmtId="0" fontId="11" fillId="0" borderId="2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4" fillId="0" borderId="0" xfId="0" applyFont="1" applyAlignment="1">
      <alignment horizontal="left" vertical="center" wrapText="1"/>
    </xf>
    <xf numFmtId="169" fontId="14" fillId="2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/>
    </xf>
    <xf numFmtId="0" fontId="18" fillId="0" borderId="0" xfId="0" applyFont="1"/>
    <xf numFmtId="0" fontId="11" fillId="0" borderId="22" xfId="0" applyFont="1" applyBorder="1" applyAlignment="1">
      <alignment horizontal="center"/>
    </xf>
    <xf numFmtId="10" fontId="2" fillId="0" borderId="0" xfId="2" applyNumberFormat="1" applyFont="1"/>
  </cellXfs>
  <cellStyles count="4">
    <cellStyle name="Millares" xfId="1" builtinId="3"/>
    <cellStyle name="Normal" xfId="0" builtinId="0"/>
    <cellStyle name="Normal 2" xfId="3" xr:uid="{C74EC333-1B56-4408-8EDE-11224B1A1DB6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91127</xdr:colOff>
      <xdr:row>1</xdr:row>
      <xdr:rowOff>100852</xdr:rowOff>
    </xdr:from>
    <xdr:ext cx="663254" cy="893116"/>
    <xdr:pic>
      <xdr:nvPicPr>
        <xdr:cNvPr id="2" name="Imagen 1">
          <a:extLst>
            <a:ext uri="{FF2B5EF4-FFF2-40B4-BE49-F238E27FC236}">
              <a16:creationId xmlns:a16="http://schemas.microsoft.com/office/drawing/2014/main" id="{B84A2C68-CB72-4BFB-A6CF-DA726AC4C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987" y="230392"/>
          <a:ext cx="663254" cy="893116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orthographicFront"/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4</xdr:col>
      <xdr:colOff>22413</xdr:colOff>
      <xdr:row>0</xdr:row>
      <xdr:rowOff>29707</xdr:rowOff>
    </xdr:from>
    <xdr:ext cx="705970" cy="997323"/>
    <xdr:pic>
      <xdr:nvPicPr>
        <xdr:cNvPr id="3" name="Imagen 2">
          <a:extLst>
            <a:ext uri="{FF2B5EF4-FFF2-40B4-BE49-F238E27FC236}">
              <a16:creationId xmlns:a16="http://schemas.microsoft.com/office/drawing/2014/main" id="{7A41FA3E-A58A-464C-B4AE-FACB0E63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5873" y="29707"/>
          <a:ext cx="705970" cy="9973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ITSC%20-%20OPTICA%20Cohorte%202024.xlsm" TargetMode="External"/><Relationship Id="rId1" Type="http://schemas.openxmlformats.org/officeDocument/2006/relationships/externalLinkPath" Target="/Users/Usuario/Downloads/ITSC%20-%20OPTICA%20Cohorte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CORRELATIVOS"/>
      <sheetName val="CERTIFICADOS"/>
      <sheetName val="COOPERADORA"/>
      <sheetName val="CODIGO PROGRAMACION"/>
      <sheetName val="SALIDA EDUCATIVA"/>
      <sheetName val="BASE DE ESTUDIANTES"/>
      <sheetName val="MATERIAS "/>
      <sheetName val="BASE DE DATO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Cohorte</v>
          </cell>
          <cell r="D1" t="str">
            <v>Legajo</v>
          </cell>
          <cell r="Z1" t="str">
            <v>CUS</v>
          </cell>
          <cell r="AA1" t="str">
            <v>Serie</v>
          </cell>
        </row>
        <row r="2">
          <cell r="C2">
            <v>2023</v>
          </cell>
          <cell r="D2" t="str">
            <v>DC-2023-01</v>
          </cell>
          <cell r="Z2">
            <v>4</v>
          </cell>
        </row>
        <row r="3">
          <cell r="C3">
            <v>2023</v>
          </cell>
          <cell r="D3" t="str">
            <v>DC-2023-02</v>
          </cell>
        </row>
        <row r="4">
          <cell r="C4">
            <v>2023</v>
          </cell>
          <cell r="D4" t="str">
            <v>DC-2023-03</v>
          </cell>
        </row>
        <row r="5">
          <cell r="C5">
            <v>2023</v>
          </cell>
          <cell r="D5" t="str">
            <v>DC-2023-04</v>
          </cell>
        </row>
        <row r="6">
          <cell r="C6">
            <v>2023</v>
          </cell>
          <cell r="D6" t="str">
            <v>DC-2023-05</v>
          </cell>
        </row>
        <row r="7">
          <cell r="C7">
            <v>2023</v>
          </cell>
          <cell r="D7" t="str">
            <v>DC-2023-06</v>
          </cell>
        </row>
        <row r="8">
          <cell r="C8">
            <v>2023</v>
          </cell>
          <cell r="D8" t="str">
            <v>DC-2023-07</v>
          </cell>
        </row>
        <row r="9">
          <cell r="C9">
            <v>2023</v>
          </cell>
          <cell r="D9" t="str">
            <v>DC-2023-08</v>
          </cell>
        </row>
        <row r="10">
          <cell r="C10">
            <v>2023</v>
          </cell>
          <cell r="D10" t="str">
            <v>DC-2023-09</v>
          </cell>
        </row>
        <row r="11">
          <cell r="C11">
            <v>2023</v>
          </cell>
          <cell r="D11" t="str">
            <v>DC-2023-10</v>
          </cell>
        </row>
        <row r="12">
          <cell r="C12">
            <v>2023</v>
          </cell>
          <cell r="D12" t="str">
            <v>DC-2023-11</v>
          </cell>
        </row>
        <row r="13">
          <cell r="C13">
            <v>2023</v>
          </cell>
          <cell r="D13" t="str">
            <v>DC-2023-12</v>
          </cell>
        </row>
        <row r="14">
          <cell r="C14">
            <v>2023</v>
          </cell>
          <cell r="D14" t="str">
            <v>DC-2023-13</v>
          </cell>
        </row>
        <row r="15">
          <cell r="C15">
            <v>2023</v>
          </cell>
          <cell r="D15" t="str">
            <v>DC-2023-14</v>
          </cell>
        </row>
        <row r="16">
          <cell r="C16">
            <v>2023</v>
          </cell>
          <cell r="D16" t="str">
            <v>DC-2023-15</v>
          </cell>
        </row>
        <row r="17">
          <cell r="C17">
            <v>2023</v>
          </cell>
          <cell r="D17" t="str">
            <v>DC-2023-16</v>
          </cell>
        </row>
        <row r="18">
          <cell r="C18">
            <v>2023</v>
          </cell>
          <cell r="D18" t="str">
            <v>DC-2023-17</v>
          </cell>
        </row>
        <row r="19">
          <cell r="C19">
            <v>2023</v>
          </cell>
          <cell r="D19" t="str">
            <v>DC-2023-18</v>
          </cell>
        </row>
        <row r="20">
          <cell r="C20">
            <v>2023</v>
          </cell>
          <cell r="D20" t="str">
            <v>DC-2023-19</v>
          </cell>
        </row>
        <row r="21">
          <cell r="C21">
            <v>2023</v>
          </cell>
          <cell r="D21" t="str">
            <v>DC-2023-20</v>
          </cell>
        </row>
        <row r="22">
          <cell r="C22">
            <v>2023</v>
          </cell>
          <cell r="D22" t="str">
            <v>DC-2023-21</v>
          </cell>
        </row>
        <row r="23">
          <cell r="C23">
            <v>2023</v>
          </cell>
          <cell r="D23" t="str">
            <v>DC-2023-22</v>
          </cell>
        </row>
        <row r="24">
          <cell r="C24">
            <v>2023</v>
          </cell>
          <cell r="D24" t="str">
            <v>DC-2023-23</v>
          </cell>
        </row>
        <row r="25">
          <cell r="C25">
            <v>2023</v>
          </cell>
          <cell r="D25" t="str">
            <v>DC-2023-24</v>
          </cell>
        </row>
        <row r="26">
          <cell r="C26">
            <v>2023</v>
          </cell>
          <cell r="D26" t="str">
            <v>DC-2023-25</v>
          </cell>
        </row>
        <row r="27">
          <cell r="C27">
            <v>2023</v>
          </cell>
          <cell r="D27" t="str">
            <v>DC-2023-26</v>
          </cell>
        </row>
        <row r="28">
          <cell r="C28">
            <v>2023</v>
          </cell>
          <cell r="D28" t="str">
            <v>DC-2023-27</v>
          </cell>
        </row>
        <row r="29">
          <cell r="C29">
            <v>2023</v>
          </cell>
          <cell r="D29" t="str">
            <v>DC-2023-28</v>
          </cell>
        </row>
        <row r="30">
          <cell r="C30">
            <v>2023</v>
          </cell>
          <cell r="D30" t="str">
            <v>DC-2023-29</v>
          </cell>
        </row>
        <row r="31">
          <cell r="C31">
            <v>2023</v>
          </cell>
          <cell r="D31" t="str">
            <v>DC-2023-30</v>
          </cell>
        </row>
        <row r="32">
          <cell r="C32">
            <v>2023</v>
          </cell>
          <cell r="D32" t="str">
            <v>DC-2023-31</v>
          </cell>
        </row>
        <row r="33">
          <cell r="C33">
            <v>2023</v>
          </cell>
          <cell r="D33" t="str">
            <v>DC-2023-32</v>
          </cell>
        </row>
        <row r="34">
          <cell r="C34">
            <v>2023</v>
          </cell>
          <cell r="D34" t="str">
            <v>DC-2023-33</v>
          </cell>
        </row>
        <row r="35">
          <cell r="C35">
            <v>2023</v>
          </cell>
          <cell r="D35" t="str">
            <v>DC-2023-34</v>
          </cell>
        </row>
        <row r="36">
          <cell r="C36">
            <v>2023</v>
          </cell>
          <cell r="D36" t="str">
            <v>DC-2023-35</v>
          </cell>
        </row>
        <row r="37">
          <cell r="C37">
            <v>2023</v>
          </cell>
          <cell r="D37" t="str">
            <v>DC-2023-36</v>
          </cell>
        </row>
        <row r="38">
          <cell r="C38">
            <v>2023</v>
          </cell>
          <cell r="D38" t="str">
            <v>DC-2023-37</v>
          </cell>
        </row>
        <row r="39">
          <cell r="C39">
            <v>2023</v>
          </cell>
          <cell r="D39" t="str">
            <v>DC-2023-38</v>
          </cell>
        </row>
        <row r="40">
          <cell r="C40">
            <v>2023</v>
          </cell>
          <cell r="D40" t="str">
            <v>DC-2023-39</v>
          </cell>
        </row>
        <row r="41">
          <cell r="C41">
            <v>2023</v>
          </cell>
          <cell r="D41" t="str">
            <v>DC-2023-40</v>
          </cell>
        </row>
        <row r="42">
          <cell r="C42">
            <v>2023</v>
          </cell>
          <cell r="D42" t="str">
            <v>DC-2023-41</v>
          </cell>
        </row>
        <row r="43">
          <cell r="C43">
            <v>2023</v>
          </cell>
          <cell r="D43" t="str">
            <v>DC-2023-42</v>
          </cell>
        </row>
        <row r="44">
          <cell r="C44">
            <v>2023</v>
          </cell>
          <cell r="D44" t="str">
            <v>DC-2023-43</v>
          </cell>
        </row>
        <row r="45">
          <cell r="C45">
            <v>2023</v>
          </cell>
          <cell r="D45" t="str">
            <v>DC-2023-44</v>
          </cell>
        </row>
        <row r="46">
          <cell r="C46">
            <v>2023</v>
          </cell>
          <cell r="D46" t="str">
            <v>DC-2023-45</v>
          </cell>
        </row>
        <row r="47">
          <cell r="C47">
            <v>2023</v>
          </cell>
          <cell r="D47" t="str">
            <v>DC-2023-46</v>
          </cell>
        </row>
        <row r="48">
          <cell r="C48">
            <v>2023</v>
          </cell>
          <cell r="D48" t="str">
            <v>DC-2023-47</v>
          </cell>
        </row>
        <row r="49">
          <cell r="C49">
            <v>2023</v>
          </cell>
          <cell r="D49" t="str">
            <v>DC-2023-48</v>
          </cell>
        </row>
        <row r="50">
          <cell r="C50">
            <v>2023</v>
          </cell>
          <cell r="D50" t="str">
            <v>DC-2023-49</v>
          </cell>
        </row>
        <row r="51">
          <cell r="C51">
            <v>2023</v>
          </cell>
          <cell r="D51" t="str">
            <v>DC-2023-50</v>
          </cell>
        </row>
        <row r="52">
          <cell r="C52">
            <v>2023</v>
          </cell>
          <cell r="D52" t="str">
            <v>DC-2023-51</v>
          </cell>
        </row>
        <row r="53">
          <cell r="C53">
            <v>2023</v>
          </cell>
          <cell r="D53" t="str">
            <v>DC-2023-52</v>
          </cell>
        </row>
        <row r="54">
          <cell r="C54">
            <v>2023</v>
          </cell>
          <cell r="D54" t="str">
            <v>DC-2023-53</v>
          </cell>
        </row>
        <row r="55">
          <cell r="C55">
            <v>2023</v>
          </cell>
          <cell r="D55" t="str">
            <v>DC-2023-54</v>
          </cell>
        </row>
        <row r="56">
          <cell r="C56">
            <v>2023</v>
          </cell>
          <cell r="D56" t="str">
            <v>DC-2023-55</v>
          </cell>
        </row>
        <row r="57">
          <cell r="C57">
            <v>2023</v>
          </cell>
          <cell r="D57" t="str">
            <v>DC-2023-56</v>
          </cell>
        </row>
        <row r="96">
          <cell r="C96" t="str">
            <v>SI = MATRICULADO 2013</v>
          </cell>
        </row>
      </sheetData>
      <sheetData sheetId="7">
        <row r="2">
          <cell r="N2" t="str">
            <v>Letras</v>
          </cell>
          <cell r="V2" t="str">
            <v>Letras6</v>
          </cell>
          <cell r="AL2" t="str">
            <v>Letras12</v>
          </cell>
          <cell r="AT2" t="str">
            <v>Letras24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A5A7-3662-4384-A11B-8944264DFB53}">
  <dimension ref="A7:M91"/>
  <sheetViews>
    <sheetView tabSelected="1" workbookViewId="0">
      <selection activeCell="B3" sqref="B3"/>
    </sheetView>
  </sheetViews>
  <sheetFormatPr baseColWidth="10" defaultRowHeight="14.4" x14ac:dyDescent="0.3"/>
  <cols>
    <col min="1" max="1" width="31.5546875" style="1" customWidth="1"/>
    <col min="2" max="2" width="15.5546875" style="1" bestFit="1" customWidth="1"/>
    <col min="3" max="6" width="7.88671875" style="1" customWidth="1"/>
    <col min="7" max="7" width="7.88671875" style="2" customWidth="1"/>
    <col min="8" max="9" width="7.88671875" style="1" customWidth="1"/>
    <col min="10" max="10" width="16.44140625" style="1" customWidth="1"/>
    <col min="11" max="12" width="9.109375" style="1" customWidth="1"/>
    <col min="13" max="13" width="1.44140625" style="1" customWidth="1"/>
  </cols>
  <sheetData>
    <row r="7" spans="1:13" x14ac:dyDescent="0.3">
      <c r="H7" s="3"/>
      <c r="J7" s="4"/>
      <c r="K7" s="4"/>
      <c r="L7" s="4"/>
      <c r="M7" s="4"/>
    </row>
    <row r="8" spans="1:13" x14ac:dyDescent="0.3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3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3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3" ht="30.6" x14ac:dyDescent="0.3">
      <c r="A13" s="7" t="s">
        <v>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3" ht="31.2" thickBot="1" x14ac:dyDescent="0.35">
      <c r="A14" s="8" t="s">
        <v>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</row>
    <row r="15" spans="1:13" x14ac:dyDescent="0.3">
      <c r="B15" s="10" t="s">
        <v>3</v>
      </c>
      <c r="C15" s="10"/>
      <c r="D15" s="10"/>
      <c r="E15" s="10"/>
      <c r="F15" s="10"/>
      <c r="G15" s="10"/>
      <c r="H15" s="10"/>
      <c r="I15" s="10"/>
      <c r="J15" s="10"/>
    </row>
    <row r="17" spans="1:13" x14ac:dyDescent="0.3">
      <c r="A17" s="11" t="s">
        <v>4</v>
      </c>
      <c r="B17" s="12"/>
      <c r="C17" s="12"/>
      <c r="D17" s="12"/>
      <c r="E17" s="12"/>
      <c r="F17" s="12"/>
      <c r="G17" s="12"/>
      <c r="H17" s="12"/>
      <c r="I17" s="13"/>
      <c r="J17" s="13"/>
      <c r="K17" s="13"/>
      <c r="L17" s="13"/>
      <c r="M17" s="13"/>
    </row>
    <row r="18" spans="1:13" x14ac:dyDescent="0.3">
      <c r="A18" s="11" t="s">
        <v>5</v>
      </c>
      <c r="B18" s="14"/>
      <c r="C18" s="14"/>
      <c r="D18" s="11"/>
      <c r="E18" s="11"/>
      <c r="F18" s="11"/>
      <c r="G18" s="15"/>
      <c r="H18" s="11"/>
      <c r="I18" s="16"/>
      <c r="J18" s="17" t="s">
        <v>6</v>
      </c>
      <c r="K18" s="18"/>
      <c r="L18" s="18"/>
      <c r="M18" s="13"/>
    </row>
    <row r="19" spans="1:13" x14ac:dyDescent="0.3">
      <c r="A19" s="11" t="s">
        <v>7</v>
      </c>
      <c r="B19" s="19"/>
      <c r="C19" s="19"/>
      <c r="D19" s="11"/>
      <c r="E19" s="11"/>
      <c r="F19" s="11"/>
      <c r="G19" s="15"/>
      <c r="H19" s="11"/>
      <c r="I19" s="17"/>
      <c r="J19" s="20"/>
      <c r="K19" s="20"/>
      <c r="L19" s="20"/>
      <c r="M19" s="13"/>
    </row>
    <row r="20" spans="1:13" x14ac:dyDescent="0.3">
      <c r="A20" s="11" t="s">
        <v>8</v>
      </c>
      <c r="B20" s="21"/>
      <c r="C20" s="21"/>
      <c r="D20" s="11"/>
      <c r="E20" s="11"/>
      <c r="F20" s="11"/>
      <c r="G20" s="15"/>
      <c r="H20" s="11"/>
      <c r="I20" s="13"/>
      <c r="J20" s="13"/>
      <c r="K20" s="13"/>
      <c r="L20" s="13"/>
      <c r="M20" s="13"/>
    </row>
    <row r="21" spans="1:13" x14ac:dyDescent="0.3">
      <c r="A21" s="11" t="s">
        <v>9</v>
      </c>
      <c r="B21" s="22"/>
      <c r="C21" s="22"/>
      <c r="D21" s="22"/>
      <c r="E21" s="22"/>
      <c r="F21" s="22"/>
      <c r="G21" s="22"/>
      <c r="H21" s="22"/>
      <c r="I21" s="22"/>
      <c r="J21" s="23" t="s">
        <v>10</v>
      </c>
      <c r="K21" s="18" t="e">
        <f>LOOKUP($D$17,'[1]BASE DE ESTUDIANTES'!C:C,'[1]BASE DE ESTUDIANTES'!Z:Z)</f>
        <v>#N/A</v>
      </c>
      <c r="L21" s="18"/>
      <c r="M21" s="13"/>
    </row>
    <row r="22" spans="1:13" x14ac:dyDescent="0.3">
      <c r="A22" s="24" t="s">
        <v>11</v>
      </c>
      <c r="B22" s="22"/>
      <c r="C22" s="22"/>
      <c r="D22" s="22"/>
      <c r="E22" s="22"/>
      <c r="F22" s="22"/>
      <c r="G22" s="22"/>
      <c r="H22" s="22"/>
      <c r="I22" s="22"/>
      <c r="J22" s="23"/>
      <c r="K22" s="25"/>
      <c r="L22" s="25"/>
      <c r="M22" s="13"/>
    </row>
    <row r="23" spans="1:13" x14ac:dyDescent="0.3">
      <c r="A23" s="26" t="s">
        <v>12</v>
      </c>
      <c r="B23" s="14"/>
      <c r="C23" s="14"/>
      <c r="D23" s="11"/>
      <c r="E23" s="11"/>
      <c r="F23" s="11"/>
      <c r="G23" s="15"/>
      <c r="H23" s="11"/>
      <c r="I23" s="27"/>
      <c r="J23" s="23" t="s">
        <v>13</v>
      </c>
      <c r="K23" s="18" t="e">
        <f>LOOKUP($D$17,'[1]BASE DE ESTUDIANTES'!C:C,'[1]BASE DE ESTUDIANTES'!AA:AA)</f>
        <v>#N/A</v>
      </c>
      <c r="L23" s="18"/>
      <c r="M23" s="13"/>
    </row>
    <row r="24" spans="1:13" x14ac:dyDescent="0.3">
      <c r="A24" s="11" t="s">
        <v>14</v>
      </c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9"/>
      <c r="M24" s="13"/>
    </row>
    <row r="25" spans="1:13" ht="15" thickBot="1" x14ac:dyDescent="0.35">
      <c r="A25" s="9"/>
      <c r="B25" s="30"/>
      <c r="C25" s="30"/>
      <c r="D25" s="30"/>
      <c r="E25" s="30"/>
      <c r="F25" s="30"/>
      <c r="G25" s="30"/>
      <c r="H25" s="30"/>
      <c r="I25" s="30"/>
      <c r="J25" s="30"/>
      <c r="K25" s="31"/>
      <c r="L25" s="31"/>
      <c r="M25" s="9"/>
    </row>
    <row r="27" spans="1:13" x14ac:dyDescent="0.3">
      <c r="A27" s="32" t="e">
        <f>IF(LOOKUP($D$15,TITULOS,TIPOS)="","",LOOKUP($D$15,TITULOS,TIPOS))</f>
        <v>#N/A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30" spans="1:13" x14ac:dyDescent="0.3">
      <c r="A30" s="33" t="s">
        <v>15</v>
      </c>
      <c r="B30" s="34"/>
      <c r="C30" s="34"/>
      <c r="D30" s="34"/>
      <c r="E30" s="34"/>
      <c r="F30" s="34"/>
      <c r="G30" s="34"/>
      <c r="H30" s="34"/>
      <c r="I30" s="34"/>
      <c r="J30" s="35"/>
      <c r="K30" s="36" t="s">
        <v>16</v>
      </c>
      <c r="L30" s="36"/>
    </row>
    <row r="31" spans="1:13" x14ac:dyDescent="0.3">
      <c r="A31" s="37" t="s">
        <v>17</v>
      </c>
      <c r="B31" s="38"/>
      <c r="C31" s="35" t="s">
        <v>18</v>
      </c>
      <c r="D31" s="36"/>
      <c r="E31" s="36" t="s">
        <v>19</v>
      </c>
      <c r="F31" s="36"/>
      <c r="G31" s="36" t="s">
        <v>20</v>
      </c>
      <c r="H31" s="36"/>
      <c r="I31" s="36"/>
      <c r="J31" s="39" t="s">
        <v>21</v>
      </c>
      <c r="K31" s="40" t="s">
        <v>22</v>
      </c>
      <c r="L31" s="41"/>
    </row>
    <row r="32" spans="1:13" x14ac:dyDescent="0.3">
      <c r="A32" s="42"/>
      <c r="B32" s="43"/>
      <c r="C32" s="44" t="s">
        <v>23</v>
      </c>
      <c r="D32" s="39" t="s">
        <v>24</v>
      </c>
      <c r="E32" s="39" t="s">
        <v>25</v>
      </c>
      <c r="F32" s="39" t="s">
        <v>26</v>
      </c>
      <c r="G32" s="39" t="s">
        <v>27</v>
      </c>
      <c r="H32" s="39" t="s">
        <v>28</v>
      </c>
      <c r="I32" s="39" t="s">
        <v>29</v>
      </c>
      <c r="J32" s="39" t="s">
        <v>30</v>
      </c>
      <c r="K32" s="45" t="s">
        <v>31</v>
      </c>
      <c r="L32" s="45"/>
    </row>
    <row r="33" spans="1:12" x14ac:dyDescent="0.3">
      <c r="A33" s="46" t="s">
        <v>32</v>
      </c>
      <c r="B33" s="47" t="s">
        <v>32</v>
      </c>
      <c r="C33" s="48" t="e">
        <f>IF(LOOKUP($D$17,'[1]BASE DE ESTUDIANTES'!C:C,[1]!Tabla5[[#All],[Nota N°]])="","",LOOKUP($D$17,'[1]BASE DE ESTUDIANTES'!C:C,[1]!Tabla5[[#All],[Nota N°]]))</f>
        <v>#N/A</v>
      </c>
      <c r="D33" s="48" t="e">
        <f>IF(LOOKUP($D$17,'[1]BASE DE ESTUDIANTES'!D:D,[1]!Tabla5[[#All],[Letras]])="","",LOOKUP($D$17,'[1]BASE DE ESTUDIANTES'!D:D,[1]!Tabla5[[#All],[Letras]]))</f>
        <v>#N/A</v>
      </c>
      <c r="E33" s="48" t="e">
        <f>IF(LOOKUP($D$17,'[1]BASE DE ESTUDIANTES'!C:C,[1]!Tabla5[[#All],[Libro]])="","",LOOKUP($D$17,'[1]BASE DE ESTUDIANTES'!C:C,[1]!Tabla5[[#All],[Libro]]))</f>
        <v>#N/A</v>
      </c>
      <c r="F33" s="48" t="e">
        <f>IF(LOOKUP($D$17,'[1]BASE DE ESTUDIANTES'!C:C,[1]!Tabla5[[#All],[Folio]])="","",LOOKUP($D$17,'[1]BASE DE ESTUDIANTES'!C:C,[1]!Tabla5[[#All],[Folio]]))</f>
        <v>#N/A</v>
      </c>
      <c r="G33" s="48" t="e">
        <f>IF(LOOKUP($D$17,'[1]BASE DE ESTUDIANTES'!C:C,[1]!Tabla5[[#All],[Fecha]])="","-",LOOKUP($D$17,'[1]BASE DE ESTUDIANTES'!C:C,DAY([1]!Tabla5[[#All],[Fecha]])))</f>
        <v>#N/A</v>
      </c>
      <c r="H33" s="48" t="e">
        <f>IF(LOOKUP($D$17,'[1]BASE DE ESTUDIANTES'!D:D,[1]!Tabla5[[#All],[Fecha]])="","-",LOOKUP($D$17,'[1]BASE DE ESTUDIANTES'!D:D,MONTH([1]!Tabla5[[#All],[Fecha]])))</f>
        <v>#N/A</v>
      </c>
      <c r="I33" s="48" t="e">
        <f>IF(LOOKUP($D$17,'[1]BASE DE ESTUDIANTES'!C:C,[1]!Tabla5[[#All],[Fecha]])="","-",LOOKUP($D$17,'[1]BASE DE ESTUDIANTES'!C:C,YEAR([1]!Tabla5[[#All],[Fecha]])))</f>
        <v>#N/A</v>
      </c>
      <c r="J33" s="49" t="e">
        <f>LOOKUP($D$17,'[1]BASE DE ESTUDIANTES'!C:C,[1]!Tabla5[[#All],[Texa]])</f>
        <v>#N/A</v>
      </c>
      <c r="K33" s="50" t="e">
        <f>LOOKUP($D$17,'[1]BASE DE ESTUDIANTES'!C:C,'[1]MATERIAS '!N1:N57)</f>
        <v>#N/A</v>
      </c>
      <c r="L33" s="51"/>
    </row>
    <row r="34" spans="1:12" x14ac:dyDescent="0.3">
      <c r="A34" s="52" t="s">
        <v>33</v>
      </c>
      <c r="B34" s="52" t="s">
        <v>33</v>
      </c>
      <c r="C34" s="48" t="e">
        <f>IF(LOOKUP($D$17,'[1]BASE DE ESTUDIANTES'!C:C,[1]!Tabla5[[#All],[Nota N°5]])="","",LOOKUP($D$17,'[1]BASE DE ESTUDIANTES'!C:C,[1]!Tabla5[[#All],[Nota N°5]]))</f>
        <v>#N/A</v>
      </c>
      <c r="D34" s="48" t="e">
        <f>IF(LOOKUP($D$17,'[1]BASE DE ESTUDIANTES'!D:D,[1]!Tabla5[[#All],[Letras6]])="","",LOOKUP($D$17,'[1]BASE DE ESTUDIANTES'!D:D,[1]!Tabla5[[#All],[Letras6]]))</f>
        <v>#N/A</v>
      </c>
      <c r="E34" s="48" t="e">
        <f>IF(LOOKUP($D$17,'[1]BASE DE ESTUDIANTES'!C:C,[1]!Tabla5[[#All],[Libro2]])="","",LOOKUP($D$17,'[1]BASE DE ESTUDIANTES'!C:C,[1]!Tabla5[[#All],[Libro2]]))</f>
        <v>#N/A</v>
      </c>
      <c r="F34" s="48" t="e">
        <f>IF(LOOKUP($D$17,'[1]BASE DE ESTUDIANTES'!C:C,[1]!Tabla5[[#All],[Folio3]])="","",LOOKUP($D$17,'[1]BASE DE ESTUDIANTES'!C:C,[1]!Tabla5[[#All],[Folio3]]))</f>
        <v>#N/A</v>
      </c>
      <c r="G34" s="53" t="e">
        <f>IF(LOOKUP($D$17,'[1]BASE DE ESTUDIANTES'!C:C,[1]!Tabla5[[#All],[Fecha4]])="","",LOOKUP($D$17,'[1]BASE DE ESTUDIANTES'!C:C,[1]!Tabla5[[#All],[Fecha4]]))</f>
        <v>#N/A</v>
      </c>
      <c r="H34" s="48" t="e">
        <f>IF(LOOKUP($D$17,'[1]BASE DE ESTUDIANTES'!D:D,[1]!Tabla5[Fecha4])="","-",LOOKUP($D$17,'[1]BASE DE ESTUDIANTES'!D:D,MONTH([1]!Tabla5[Fecha4])))</f>
        <v>#N/A</v>
      </c>
      <c r="I34" s="54" t="e">
        <f>IF(LOOKUP($D$17,'[1]BASE DE ESTUDIANTES'!C:C,[1]!Tabla5[Fecha4])="","",LOOKUP($D$17,'[1]BASE DE ESTUDIANTES'!C:C,[1]!Tabla5[Fecha4]))</f>
        <v>#N/A</v>
      </c>
      <c r="J34" s="49" t="e">
        <f>LOOKUP($D$17,'[1]BASE DE ESTUDIANTES'!C:C,[1]!Tabla5[[#All],[Texa7]])</f>
        <v>#N/A</v>
      </c>
      <c r="K34" s="50" t="e">
        <f>LOOKUP($D$17,'[1]BASE DE ESTUDIANTES'!C:C,'[1]MATERIAS '!V2:V58)</f>
        <v>#N/A</v>
      </c>
      <c r="L34" s="51"/>
    </row>
    <row r="35" spans="1:12" x14ac:dyDescent="0.3">
      <c r="A35" s="52" t="s">
        <v>34</v>
      </c>
      <c r="B35" s="52" t="s">
        <v>34</v>
      </c>
      <c r="C35" s="48" t="e">
        <f>IF(LOOKUP($D$17,'[1]BASE DE ESTUDIANTES'!C:C,[1]!Tabla5[[#All],[Nota N°17]])="","",LOOKUP($D$17,'[1]BASE DE ESTUDIANTES'!C:C,[1]!Tabla5[Nota N°17]))</f>
        <v>#N/A</v>
      </c>
      <c r="D35" s="48" t="e">
        <f>IF(LOOKUP($D$17,'[1]BASE DE ESTUDIANTES'!D:D,[1]!Tabla5[[#All],[Letras18]])="","",LOOKUP($D$17,'[1]BASE DE ESTUDIANTES'!D:D,[1]!Tabla5[[#All],[Letras18]]))</f>
        <v>#N/A</v>
      </c>
      <c r="E35" s="48" t="e">
        <f>IF(LOOKUP($D$17,'[1]BASE DE ESTUDIANTES'!C:C,[1]!Tabla5[[#All],[Libro14]])="","",LOOKUP($D$17,'[1]BASE DE ESTUDIANTES'!C:C,[1]!Tabla5[[#All],[Libro14]]))</f>
        <v>#N/A</v>
      </c>
      <c r="F35" s="48" t="e">
        <f>IF(LOOKUP($D$17,'[1]BASE DE ESTUDIANTES'!C:C,[1]!Tabla5[[#All],[Folio15]])="","",LOOKUP($D$17,'[1]BASE DE ESTUDIANTES'!C:C,[1]!Tabla5[[#All],[Folio15]]))</f>
        <v>#N/A</v>
      </c>
      <c r="G35" s="53" t="e">
        <f>IF(LOOKUP($D$17,'[1]BASE DE ESTUDIANTES'!C:C,[1]!Tabla5[[#All],[Fecha16]])="","",LOOKUP($D$17,'[1]BASE DE ESTUDIANTES'!C:C,[1]!Tabla5[[#All],[Fecha16]]))</f>
        <v>#N/A</v>
      </c>
      <c r="H35" s="48" t="e">
        <f>IF(LOOKUP($D$17,'[1]BASE DE ESTUDIANTES'!D:D,[1]!Tabla5[Fecha16])="","-",LOOKUP($D$17,'[1]BASE DE ESTUDIANTES'!D:D,MONTH([1]!Tabla5[Fecha16])))</f>
        <v>#N/A</v>
      </c>
      <c r="I35" s="54" t="e">
        <f>IF(LOOKUP($D$17,'[1]BASE DE ESTUDIANTES'!C:C,[1]!Tabla5[Fecha4])="","",LOOKUP($D$17,'[1]BASE DE ESTUDIANTES'!C:C,[1]!Tabla5[Fecha4]))</f>
        <v>#N/A</v>
      </c>
      <c r="J35" s="49" t="e">
        <f>LOOKUP($D$17,'[1]BASE DE ESTUDIANTES'!C:C,[1]!Tabla5[[#All],[Texa19]])</f>
        <v>#N/A</v>
      </c>
      <c r="K35" s="50" t="e">
        <f>LOOKUP($D$17,'[1]BASE DE ESTUDIANTES'!C:C,'[1]MATERIAS '!AD3:AD59)</f>
        <v>#N/A</v>
      </c>
      <c r="L35" s="51"/>
    </row>
    <row r="36" spans="1:12" x14ac:dyDescent="0.3">
      <c r="A36" s="52" t="s">
        <v>35</v>
      </c>
      <c r="B36" s="52" t="s">
        <v>35</v>
      </c>
      <c r="C36" s="48" t="e">
        <f>IF(LOOKUP($D$17,'[1]BASE DE ESTUDIANTES'!C:C,[1]!Tabla5[[#All],[Nota N°11]])="","",LOOKUP($D$17,'[1]BASE DE ESTUDIANTES'!C:C,[1]!Tabla5[[#All],[Nota N°11]]))</f>
        <v>#N/A</v>
      </c>
      <c r="D36" s="48" t="e">
        <f>IF(LOOKUP($D$17,'[1]BASE DE ESTUDIANTES'!C:C,[1]!Tabla5[[#All],[Letras12]])="","",LOOKUP($D$17,'[1]BASE DE ESTUDIANTES'!C:C,[1]!Tabla5[[#All],[Letras12]]))</f>
        <v>#N/A</v>
      </c>
      <c r="E36" s="48" t="e">
        <f>IF(LOOKUP($D$17,'[1]BASE DE ESTUDIANTES'!C:C,[1]!Tabla5[[#All],[Libro8]])="","",LOOKUP($D$17,'[1]BASE DE ESTUDIANTES'!C:C,[1]!Tabla5[[#All],[Libro]]))</f>
        <v>#N/A</v>
      </c>
      <c r="F36" s="48" t="e">
        <f>IF(LOOKUP($D$17,'[1]BASE DE ESTUDIANTES'!C:C,[1]!Tabla5[[#All],[Folio9]])="","",LOOKUP($D$17,'[1]BASE DE ESTUDIANTES'!C:C,[1]!Tabla5[[#All],[Folio9]]))</f>
        <v>#N/A</v>
      </c>
      <c r="G36" s="53" t="e">
        <f>IF(LOOKUP($D$17,'[1]BASE DE ESTUDIANTES'!C:C,[1]!Tabla5[[#All],[Fecha10]])="","",LOOKUP($D$17,'[1]BASE DE ESTUDIANTES'!C:C,[1]!Tabla5[[#All],[Fecha10]]))</f>
        <v>#N/A</v>
      </c>
      <c r="H36" s="48" t="e">
        <f>IF(LOOKUP($D$17,'[1]BASE DE ESTUDIANTES'!D:D,[1]!Tabla5[Fecha10])="","-",LOOKUP($D$17,'[1]BASE DE ESTUDIANTES'!D:D,MONTH([1]!Tabla5[Fecha10])))</f>
        <v>#N/A</v>
      </c>
      <c r="I36" s="54" t="e">
        <f>IF(LOOKUP($D$17,'[1]BASE DE ESTUDIANTES'!C:C,[1]!Tabla5[Fecha10])="","",LOOKUP($D$17,'[1]BASE DE ESTUDIANTES'!C:C,[1]!Tabla5[Fecha10]))</f>
        <v>#N/A</v>
      </c>
      <c r="J36" s="49" t="e">
        <f>LOOKUP($D$17,'[1]BASE DE ESTUDIANTES'!C:C,[1]!Tabla5[[#All],[Texa13]])</f>
        <v>#N/A</v>
      </c>
      <c r="K36" s="50" t="e">
        <f>LOOKUP($D$17,'[1]BASE DE ESTUDIANTES'!C:C,'[1]MATERIAS '!AL1:AL57)</f>
        <v>#N/A</v>
      </c>
      <c r="L36" s="51"/>
    </row>
    <row r="37" spans="1:12" x14ac:dyDescent="0.3">
      <c r="A37" s="52" t="s">
        <v>36</v>
      </c>
      <c r="B37" s="52" t="s">
        <v>36</v>
      </c>
      <c r="C37" s="48" t="e">
        <f>IF(LOOKUP($D$17,'[1]BASE DE ESTUDIANTES'!C:C,[1]!Tabla5[[#All],[Nota N°23]])="","",LOOKUP($D$17,'[1]BASE DE ESTUDIANTES'!C:C,[1]!Tabla5[[#All],[Nota N°23]]))</f>
        <v>#N/A</v>
      </c>
      <c r="D37" s="48" t="e">
        <f>IF(LOOKUP($D$17,'[1]BASE DE ESTUDIANTES'!D:D,[1]!Tabla5[[#All],[Letras24]])="","",LOOKUP($D$17,'[1]BASE DE ESTUDIANTES'!D:D,[1]!Tabla5[[#All],[Letras24]]))</f>
        <v>#N/A</v>
      </c>
      <c r="E37" s="48" t="e">
        <f>IF(LOOKUP($D$17,'[1]BASE DE ESTUDIANTES'!C:C,[1]!Tabla5[[#All],[Libro20]])="","",LOOKUP($D$17,'[1]BASE DE ESTUDIANTES'!C:C,[1]!Tabla5[[#All],[Libro20]]))</f>
        <v>#N/A</v>
      </c>
      <c r="F37" s="48" t="e">
        <f>IF(LOOKUP($D$17,'[1]BASE DE ESTUDIANTES'!C:C,[1]!Tabla5[[#All],[Folio21]])="","",LOOKUP($D$17,'[1]BASE DE ESTUDIANTES'!C:C,[1]!Tabla5[[#All],[Folio21]]))</f>
        <v>#N/A</v>
      </c>
      <c r="G37" s="53" t="e">
        <f>IF(LOOKUP($D$17,'[1]BASE DE ESTUDIANTES'!C:C,[1]!Tabla5[Fecha22])="","-",LOOKUP($D$17,'[1]BASE DE ESTUDIANTES'!C:C,DAY([1]!Tabla5[Fecha22])))</f>
        <v>#N/A</v>
      </c>
      <c r="H37" s="48" t="e">
        <f>IF(LOOKUP($D$17,'[1]BASE DE ESTUDIANTES'!D:D,[1]!Tabla5[Fecha22])="","-",LOOKUP($D$17,'[1]BASE DE ESTUDIANTES'!D:D,MONTH([1]!Tabla5[Fecha22])))</f>
        <v>#N/A</v>
      </c>
      <c r="I37" s="54" t="e">
        <f>IF(LOOKUP($D$17,'[1]BASE DE ESTUDIANTES'!C:C,[1]!Tabla5[Fecha22])="","-",LOOKUP($D$17,'[1]BASE DE ESTUDIANTES'!C:C,YEAR([1]!Tabla5[Fecha22])))</f>
        <v>#N/A</v>
      </c>
      <c r="J37" s="49" t="e">
        <f>LOOKUP($D$17,'[1]BASE DE ESTUDIANTES'!C:C,[1]!Tabla5[[#All],[Texa31]])</f>
        <v>#N/A</v>
      </c>
      <c r="K37" s="50" t="e">
        <f>LOOKUP($D$17,'[1]BASE DE ESTUDIANTES'!C:C,'[1]MATERIAS '!AT2:AT58)</f>
        <v>#N/A</v>
      </c>
      <c r="L37" s="51"/>
    </row>
    <row r="38" spans="1:12" x14ac:dyDescent="0.3">
      <c r="A38" s="52" t="s">
        <v>37</v>
      </c>
      <c r="B38" s="52" t="s">
        <v>37</v>
      </c>
      <c r="C38" s="48" t="e">
        <f>IF(LOOKUP($D$17,'[1]BASE DE ESTUDIANTES'!C:C,[1]!Tabla5[[#All],[Nota N°29]])="","",LOOKUP($D$17,'[1]BASE DE ESTUDIANTES'!C:C,[1]!Tabla5[[#All],[Nota N°29]]))</f>
        <v>#N/A</v>
      </c>
      <c r="D38" s="48" t="e">
        <f>IF(LOOKUP($D$17,'[1]BASE DE ESTUDIANTES'!D:D,[1]!Tabla5[[#All],[Letras30]])="","",LOOKUP($D$17,'[1]BASE DE ESTUDIANTES'!D:D,[1]!Tabla5[[#All],[Letras30]]))</f>
        <v>#N/A</v>
      </c>
      <c r="E38" s="48" t="e">
        <f>IF(LOOKUP($D$17,'[1]BASE DE ESTUDIANTES'!C:C,[1]!Tabla5[[#All],[Libro26]])="","",LOOKUP($D$17,'[1]BASE DE ESTUDIANTES'!C:C,[1]!Tabla5[[#All],[Libro26]]))</f>
        <v>#N/A</v>
      </c>
      <c r="F38" s="48" t="e">
        <f>IF(LOOKUP($D$17,'[1]BASE DE ESTUDIANTES'!C:C,[1]!Tabla5[[#All],[Folio27]])="","",LOOKUP($D$17,'[1]BASE DE ESTUDIANTES'!C:C,[1]!Tabla5[[#All],[Folio27]]))</f>
        <v>#N/A</v>
      </c>
      <c r="G38" s="53" t="e">
        <f>IF(LOOKUP($D$17,'[1]BASE DE ESTUDIANTES'!C:C,[1]!Tabla5[Fecha28])="","-",LOOKUP($D$17,'[1]BASE DE ESTUDIANTES'!C:C,DAY([1]!Tabla5[Fecha28])))</f>
        <v>#N/A</v>
      </c>
      <c r="H38" s="48" t="e">
        <f>IF(LOOKUP($D$17,'[1]BASE DE ESTUDIANTES'!D:D,[1]!Tabla5[Fecha28])="","-",LOOKUP($D$17,'[1]BASE DE ESTUDIANTES'!D:D,MONTH([1]!Tabla5[Fecha28])))</f>
        <v>#N/A</v>
      </c>
      <c r="I38" s="54" t="e">
        <f>IF(LOOKUP($D$17,'[1]BASE DE ESTUDIANTES'!C:C,[1]!Tabla5[Fecha28])="","-",LOOKUP($D$17,'[1]BASE DE ESTUDIANTES'!C:C,YEAR([1]!Tabla5[Fecha28])))</f>
        <v>#N/A</v>
      </c>
      <c r="J38" s="49" t="e">
        <f>LOOKUP($D$17,'[1]BASE DE ESTUDIANTES'!C:C,[1]!Tabla5[[#All],[Texa31]])</f>
        <v>#N/A</v>
      </c>
      <c r="K38" s="50" t="e">
        <f>LOOKUP($D$17,'[1]BASE DE ESTUDIANTES'!C:C,'[1]MATERIAS '!BB3:BB59)</f>
        <v>#N/A</v>
      </c>
      <c r="L38" s="51"/>
    </row>
    <row r="39" spans="1:12" x14ac:dyDescent="0.3">
      <c r="A39" s="52" t="s">
        <v>38</v>
      </c>
      <c r="B39" s="52" t="s">
        <v>38</v>
      </c>
      <c r="C39" s="48" t="e">
        <f>IF(LOOKUP($D$17,'[1]BASE DE ESTUDIANTES'!C:C,[1]!Tabla5[[#All],[Nota N°115]])="","",LOOKUP($D$17,'[1]BASE DE ESTUDIANTES'!C:C,[1]!Tabla5[[#All],[Nota N°115]]))</f>
        <v>#N/A</v>
      </c>
      <c r="D39" s="48" t="e">
        <f>IF(LOOKUP($D$17,'[1]BASE DE ESTUDIANTES'!D:D,[1]!Tabla5[[#All],[Letras126]])="","",LOOKUP($D$17,'[1]BASE DE ESTUDIANTES'!D:D,[1]!Tabla5[[#All],[Letras126]]))</f>
        <v>#N/A</v>
      </c>
      <c r="E39" s="48" t="e">
        <f>IF(LOOKUP($D$17,'[1]BASE DE ESTUDIANTES'!C:C,[1]!Tabla5[[#All],[Libro82]])="","",LOOKUP($D$17,'[1]BASE DE ESTUDIANTES'!C:C,[1]!Tabla5[[#All],[Libro82]]))</f>
        <v>#N/A</v>
      </c>
      <c r="F39" s="48" t="e">
        <f>IF(LOOKUP($D$17,'[1]BASE DE ESTUDIANTES'!C:C,[1]!Tabla5[[#All],[Folio93]])="","",LOOKUP($D$17,'[1]BASE DE ESTUDIANTES'!C:C,[1]!Tabla5[[#All],[Folio93]]))</f>
        <v>#N/A</v>
      </c>
      <c r="G39" s="53" t="e">
        <f>IF(LOOKUP($D$17,'[1]BASE DE ESTUDIANTES'!C:C,[1]!Tabla5[[#All],[Fecha104]])="","",LOOKUP($D$17,'[1]BASE DE ESTUDIANTES'!C:C,[1]!Tabla5[[#All],[Fecha104]]))</f>
        <v>#N/A</v>
      </c>
      <c r="H39" s="48" t="e">
        <f>IF(LOOKUP($D$17,'[1]BASE DE ESTUDIANTES'!D:D,[1]!Tabla5[Fecha104])="","-",LOOKUP($D$17,'[1]BASE DE ESTUDIANTES'!D:D,MONTH([1]!Tabla5[Fecha104])))</f>
        <v>#N/A</v>
      </c>
      <c r="I39" s="54" t="e">
        <f>IF(LOOKUP($D$17,'[1]BASE DE ESTUDIANTES'!C:C,[1]!Tabla5[Fecha4])="","",LOOKUP($D$17,'[1]BASE DE ESTUDIANTES'!C:C,[1]!Tabla5[Fecha4]))</f>
        <v>#N/A</v>
      </c>
      <c r="J39" s="49" t="e">
        <f>LOOKUP($D$17,'[1]BASE DE ESTUDIANTES'!C:C,[1]!Tabla5[[#All],[Texa19]])</f>
        <v>#N/A</v>
      </c>
      <c r="K39" s="50" t="e">
        <f>LOOKUP($D$17,'[1]BASE DE ESTUDIANTES'!C:C,'[1]MATERIAS '!BJ4:BJ60)</f>
        <v>#N/A</v>
      </c>
      <c r="L39" s="51"/>
    </row>
    <row r="40" spans="1:12" x14ac:dyDescent="0.3">
      <c r="A40" s="52" t="s">
        <v>39</v>
      </c>
      <c r="B40" s="52" t="s">
        <v>39</v>
      </c>
      <c r="C40" s="48" t="e">
        <f>IF(LOOKUP($D$17,'[1]BASE DE ESTUDIANTES'!C:C,[1]!Tabla5[[#All],[Nota N°2312]])="","",LOOKUP($D$17,'[1]BASE DE ESTUDIANTES'!C:C,[1]!Tabla5[[#All],[Nota N°2312]]))</f>
        <v>#N/A</v>
      </c>
      <c r="D40" s="48" t="e">
        <f>IF(LOOKUP($D$17,'[1]BASE DE ESTUDIANTES'!D:D,[1]!Tabla5[[#All],[Letras2413]])="","",LOOKUP($D$17,'[1]BASE DE ESTUDIANTES'!D:D,[1]!Tabla5[[#All],[Letras2413]]))</f>
        <v>#N/A</v>
      </c>
      <c r="E40" s="48" t="e">
        <f>IF(LOOKUP($D$17,'[1]BASE DE ESTUDIANTES'!C:C,[1]!Tabla5[[#All],[Libro209]])="","",LOOKUP($D$17,'[1]BASE DE ESTUDIANTES'!C:C,[1]!Tabla5[[#All],[Libro209]]))</f>
        <v>#N/A</v>
      </c>
      <c r="F40" s="48" t="e">
        <f>IF(LOOKUP($D$17,'[1]BASE DE ESTUDIANTES'!C:C,[1]!Tabla5[[#All],[Folio2110]])="","",LOOKUP($D$17,'[1]BASE DE ESTUDIANTES'!C:C,[1]!Tabla5[[#All],[Folio2110]]))</f>
        <v>#N/A</v>
      </c>
      <c r="G40" s="53" t="e">
        <f>IF(LOOKUP($D$17,'[1]BASE DE ESTUDIANTES'!C:C,[1]!Tabla5[[#All],[Fecha2211]])="","",LOOKUP($D$17,'[1]BASE DE ESTUDIANTES'!C:C,[1]!Tabla5[[#All],[Fecha2211]]))</f>
        <v>#N/A</v>
      </c>
      <c r="H40" s="48" t="e">
        <f>IF(LOOKUP($D$17,'[1]BASE DE ESTUDIANTES'!D:D,[1]!Tabla5[Fecha2211])="","-",LOOKUP($D$17,'[1]BASE DE ESTUDIANTES'!D:D,MONTH([1]!Tabla5[Fecha2211])))</f>
        <v>#N/A</v>
      </c>
      <c r="I40" s="54" t="e">
        <f>IF(LOOKUP($D$17,'[1]BASE DE ESTUDIANTES'!C:C,[1]!Tabla5[Fecha4])="","",LOOKUP($D$17,'[1]BASE DE ESTUDIANTES'!C:C,[1]!Tabla5[Fecha4]))</f>
        <v>#N/A</v>
      </c>
      <c r="J40" s="49" t="e">
        <f>LOOKUP($D$17,'[1]BASE DE ESTUDIANTES'!C:C,[1]!Tabla5[[#All],[Texa2514]])</f>
        <v>#N/A</v>
      </c>
      <c r="K40" s="50" t="e">
        <f>LOOKUP($D$17,'[1]BASE DE ESTUDIANTES'!C:C,'[1]MATERIAS '!BR5:BR61)</f>
        <v>#N/A</v>
      </c>
      <c r="L40" s="51"/>
    </row>
    <row r="41" spans="1:12" x14ac:dyDescent="0.3">
      <c r="A41" s="52" t="s">
        <v>40</v>
      </c>
      <c r="B41" s="52" t="s">
        <v>40</v>
      </c>
      <c r="C41" s="48" t="e">
        <f>IF(LOOKUP($D$17,'[1]BASE DE ESTUDIANTES'!C:C,[1]!Tabla5[[#All],[Nota N°23125]])="","",LOOKUP($D$17,'[1]BASE DE ESTUDIANTES'!C:C,[1]!Tabla5[[#All],[Nota N°23125]]))</f>
        <v>#N/A</v>
      </c>
      <c r="D41" s="48" t="e">
        <f>IF(LOOKUP($D$17,'[1]BASE DE ESTUDIANTES'!D:D,[1]!Tabla5[[#All],[Letras24132]])="","",LOOKUP($D$17,'[1]BASE DE ESTUDIANTES'!D:D,[1]!Tabla5[[#All],[Letras24132]]))</f>
        <v>#N/A</v>
      </c>
      <c r="E41" s="48" t="e">
        <f>IF(LOOKUP($D$17,'[1]BASE DE ESTUDIANTES'!C:C,[1]!Tabla5[[#All],[Libro2092]])="","",LOOKUP($D$17,'[1]BASE DE ESTUDIANTES'!C:C,[1]!Tabla5[[#All],[Libro2092]]))</f>
        <v>#N/A</v>
      </c>
      <c r="F41" s="48" t="e">
        <f>IF(LOOKUP($D$17,'[1]BASE DE ESTUDIANTES'!C:C,[1]!Tabla5[[#All],[Folio21103]])="","",LOOKUP($D$17,'[1]BASE DE ESTUDIANTES'!C:C,[1]!Tabla5[[#All],[Folio21103]]))</f>
        <v>#N/A</v>
      </c>
      <c r="G41" s="53" t="e">
        <f>IF(LOOKUP($D$17,'[1]BASE DE ESTUDIANTES'!C:C,[1]!Tabla5[[#All],[Fecha4]])="","",LOOKUP($D$17,'[1]BASE DE ESTUDIANTES'!C:C,[1]!Tabla5[[#All],[Fecha4]]))</f>
        <v>#N/A</v>
      </c>
      <c r="H41" s="48" t="e">
        <f>IF(LOOKUP($D$17,'[1]BASE DE ESTUDIANTES'!D:D,[1]!Tabla5[Fecha22114])="","-",LOOKUP($D$17,'[1]BASE DE ESTUDIANTES'!D:D,MONTH([1]!Tabla5[Fecha22114])))</f>
        <v>#N/A</v>
      </c>
      <c r="I41" s="54" t="e">
        <f>IF(LOOKUP($D$17,'[1]BASE DE ESTUDIANTES'!C:C,[1]!Tabla5[Fecha4])="","",LOOKUP($D$17,'[1]BASE DE ESTUDIANTES'!C:C,[1]!Tabla5[Fecha4]))</f>
        <v>#N/A</v>
      </c>
      <c r="J41" s="49" t="e">
        <f>LOOKUP($D$17,'[1]BASE DE ESTUDIANTES'!C:C,[1]!Tabla5[[#All],[Texa19]])</f>
        <v>#N/A</v>
      </c>
      <c r="K41" s="50" t="e">
        <f>LOOKUP($D$17,'[1]BASE DE ESTUDIANTES'!C:C,'[1]MATERIAS '!BZ6:BZ62)</f>
        <v>#N/A</v>
      </c>
      <c r="L41" s="51"/>
    </row>
    <row r="42" spans="1:12" x14ac:dyDescent="0.3">
      <c r="A42" s="33" t="s">
        <v>41</v>
      </c>
      <c r="B42" s="34"/>
      <c r="C42" s="34"/>
      <c r="D42" s="34"/>
      <c r="E42" s="34"/>
      <c r="F42" s="34"/>
      <c r="G42" s="34"/>
      <c r="H42" s="34"/>
      <c r="I42" s="34"/>
      <c r="J42" s="35"/>
      <c r="K42" s="36" t="s">
        <v>16</v>
      </c>
      <c r="L42" s="36"/>
    </row>
    <row r="43" spans="1:12" x14ac:dyDescent="0.3">
      <c r="A43" s="37" t="s">
        <v>17</v>
      </c>
      <c r="B43" s="38"/>
      <c r="C43" s="35" t="s">
        <v>18</v>
      </c>
      <c r="D43" s="36"/>
      <c r="E43" s="36" t="s">
        <v>19</v>
      </c>
      <c r="F43" s="36"/>
      <c r="G43" s="36" t="s">
        <v>20</v>
      </c>
      <c r="H43" s="36"/>
      <c r="I43" s="36"/>
      <c r="J43" s="39" t="s">
        <v>21</v>
      </c>
      <c r="K43" s="40" t="s">
        <v>22</v>
      </c>
      <c r="L43" s="41"/>
    </row>
    <row r="44" spans="1:12" x14ac:dyDescent="0.3">
      <c r="A44" s="42"/>
      <c r="B44" s="43"/>
      <c r="C44" s="44" t="s">
        <v>23</v>
      </c>
      <c r="D44" s="39" t="s">
        <v>24</v>
      </c>
      <c r="E44" s="39" t="s">
        <v>25</v>
      </c>
      <c r="F44" s="39" t="s">
        <v>26</v>
      </c>
      <c r="G44" s="39" t="s">
        <v>27</v>
      </c>
      <c r="H44" s="39" t="s">
        <v>28</v>
      </c>
      <c r="I44" s="39" t="s">
        <v>29</v>
      </c>
      <c r="J44" s="39" t="s">
        <v>30</v>
      </c>
      <c r="K44" s="45" t="s">
        <v>31</v>
      </c>
      <c r="L44" s="45"/>
    </row>
    <row r="45" spans="1:12" x14ac:dyDescent="0.3">
      <c r="A45" s="52" t="s">
        <v>42</v>
      </c>
      <c r="B45" s="52" t="s">
        <v>42</v>
      </c>
      <c r="C45" s="48"/>
      <c r="D45" s="49"/>
      <c r="E45" s="49"/>
      <c r="F45" s="49"/>
      <c r="G45" s="49"/>
      <c r="H45" s="49"/>
      <c r="I45" s="49"/>
      <c r="J45" s="49"/>
      <c r="K45" s="55"/>
      <c r="L45" s="56"/>
    </row>
    <row r="46" spans="1:12" x14ac:dyDescent="0.3">
      <c r="A46" s="52" t="s">
        <v>43</v>
      </c>
      <c r="B46" s="52" t="s">
        <v>43</v>
      </c>
      <c r="C46" s="48"/>
      <c r="D46" s="49"/>
      <c r="E46" s="49"/>
      <c r="F46" s="49"/>
      <c r="G46" s="49"/>
      <c r="H46" s="49"/>
      <c r="I46" s="49"/>
      <c r="J46" s="49"/>
      <c r="K46" s="55"/>
      <c r="L46" s="56"/>
    </row>
    <row r="47" spans="1:12" x14ac:dyDescent="0.3">
      <c r="A47" s="52" t="s">
        <v>44</v>
      </c>
      <c r="B47" s="52" t="s">
        <v>44</v>
      </c>
      <c r="C47" s="48"/>
      <c r="D47" s="49"/>
      <c r="E47" s="49"/>
      <c r="F47" s="49"/>
      <c r="G47" s="49"/>
      <c r="H47" s="49"/>
      <c r="I47" s="49"/>
      <c r="J47" s="49"/>
      <c r="K47" s="55"/>
      <c r="L47" s="56"/>
    </row>
    <row r="48" spans="1:12" x14ac:dyDescent="0.3">
      <c r="A48" s="52" t="s">
        <v>45</v>
      </c>
      <c r="B48" s="52" t="s">
        <v>45</v>
      </c>
      <c r="C48" s="48"/>
      <c r="D48" s="49"/>
      <c r="E48" s="49"/>
      <c r="F48" s="49"/>
      <c r="G48" s="49"/>
      <c r="H48" s="49"/>
      <c r="I48" s="49"/>
      <c r="J48" s="49"/>
      <c r="K48" s="55"/>
      <c r="L48" s="56"/>
    </row>
    <row r="49" spans="1:12" x14ac:dyDescent="0.3">
      <c r="A49" s="46" t="s">
        <v>46</v>
      </c>
      <c r="B49" s="47" t="s">
        <v>46</v>
      </c>
      <c r="C49" s="48"/>
      <c r="D49" s="49"/>
      <c r="E49" s="49"/>
      <c r="F49" s="49"/>
      <c r="G49" s="49"/>
      <c r="H49" s="49"/>
      <c r="I49" s="49"/>
      <c r="J49" s="49"/>
      <c r="K49" s="50"/>
      <c r="L49" s="51"/>
    </row>
    <row r="50" spans="1:12" x14ac:dyDescent="0.3">
      <c r="A50" s="46" t="s">
        <v>47</v>
      </c>
      <c r="B50" s="47" t="s">
        <v>47</v>
      </c>
      <c r="C50" s="48"/>
      <c r="D50" s="49"/>
      <c r="E50" s="49"/>
      <c r="F50" s="49"/>
      <c r="G50" s="49"/>
      <c r="H50" s="49"/>
      <c r="I50" s="49"/>
      <c r="J50" s="49"/>
      <c r="K50" s="50"/>
      <c r="L50" s="51"/>
    </row>
    <row r="51" spans="1:12" x14ac:dyDescent="0.3">
      <c r="A51" s="46" t="s">
        <v>48</v>
      </c>
      <c r="B51" s="47" t="s">
        <v>48</v>
      </c>
      <c r="C51" s="48"/>
      <c r="D51" s="49"/>
      <c r="E51" s="49"/>
      <c r="F51" s="49"/>
      <c r="G51" s="49"/>
      <c r="H51" s="49"/>
      <c r="I51" s="49"/>
      <c r="J51" s="49"/>
      <c r="K51" s="50"/>
      <c r="L51" s="51"/>
    </row>
    <row r="52" spans="1:12" x14ac:dyDescent="0.3">
      <c r="A52" s="33" t="s">
        <v>49</v>
      </c>
      <c r="B52" s="34"/>
      <c r="C52" s="34"/>
      <c r="D52" s="34"/>
      <c r="E52" s="34"/>
      <c r="F52" s="34"/>
      <c r="G52" s="34"/>
      <c r="H52" s="34"/>
      <c r="I52" s="34"/>
      <c r="J52" s="35"/>
      <c r="K52" s="33" t="s">
        <v>16</v>
      </c>
      <c r="L52" s="35"/>
    </row>
    <row r="53" spans="1:12" x14ac:dyDescent="0.3">
      <c r="A53" s="37" t="s">
        <v>17</v>
      </c>
      <c r="B53" s="38"/>
      <c r="C53" s="35" t="s">
        <v>18</v>
      </c>
      <c r="D53" s="36"/>
      <c r="E53" s="36" t="s">
        <v>19</v>
      </c>
      <c r="F53" s="36"/>
      <c r="G53" s="36" t="s">
        <v>20</v>
      </c>
      <c r="H53" s="36"/>
      <c r="I53" s="36"/>
      <c r="J53" s="39" t="s">
        <v>21</v>
      </c>
      <c r="K53" s="40" t="s">
        <v>22</v>
      </c>
      <c r="L53" s="41"/>
    </row>
    <row r="54" spans="1:12" x14ac:dyDescent="0.3">
      <c r="A54" s="42"/>
      <c r="B54" s="43"/>
      <c r="C54" s="44" t="s">
        <v>23</v>
      </c>
      <c r="D54" s="39" t="s">
        <v>24</v>
      </c>
      <c r="E54" s="39" t="s">
        <v>25</v>
      </c>
      <c r="F54" s="39" t="s">
        <v>26</v>
      </c>
      <c r="G54" s="39" t="s">
        <v>27</v>
      </c>
      <c r="H54" s="39" t="s">
        <v>28</v>
      </c>
      <c r="I54" s="39" t="s">
        <v>29</v>
      </c>
      <c r="J54" s="39" t="s">
        <v>30</v>
      </c>
      <c r="K54" s="45" t="s">
        <v>31</v>
      </c>
      <c r="L54" s="45"/>
    </row>
    <row r="55" spans="1:12" x14ac:dyDescent="0.3">
      <c r="A55" s="52" t="s">
        <v>50</v>
      </c>
      <c r="B55" s="52" t="s">
        <v>50</v>
      </c>
      <c r="C55" s="49"/>
      <c r="D55" s="49"/>
      <c r="E55" s="49"/>
      <c r="F55" s="49"/>
      <c r="G55" s="49"/>
      <c r="H55" s="49"/>
      <c r="I55" s="49"/>
      <c r="J55" s="48"/>
      <c r="K55" s="55"/>
      <c r="L55" s="56"/>
    </row>
    <row r="56" spans="1:12" x14ac:dyDescent="0.3">
      <c r="A56" s="52" t="s">
        <v>51</v>
      </c>
      <c r="B56" s="52" t="s">
        <v>51</v>
      </c>
      <c r="C56" s="49"/>
      <c r="D56" s="49"/>
      <c r="E56" s="49"/>
      <c r="F56" s="49"/>
      <c r="G56" s="49"/>
      <c r="H56" s="49"/>
      <c r="I56" s="49"/>
      <c r="J56" s="48"/>
      <c r="K56" s="55"/>
      <c r="L56" s="56"/>
    </row>
    <row r="57" spans="1:12" x14ac:dyDescent="0.3">
      <c r="A57" s="52" t="s">
        <v>52</v>
      </c>
      <c r="B57" s="52" t="s">
        <v>52</v>
      </c>
      <c r="C57" s="49"/>
      <c r="D57" s="49"/>
      <c r="E57" s="49"/>
      <c r="F57" s="49"/>
      <c r="G57" s="49"/>
      <c r="H57" s="49"/>
      <c r="I57" s="49"/>
      <c r="J57" s="48"/>
      <c r="K57" s="55"/>
      <c r="L57" s="56"/>
    </row>
    <row r="58" spans="1:12" x14ac:dyDescent="0.3">
      <c r="A58" s="52" t="s">
        <v>53</v>
      </c>
      <c r="B58" s="52" t="s">
        <v>53</v>
      </c>
      <c r="C58" s="49"/>
      <c r="D58" s="49"/>
      <c r="E58" s="49"/>
      <c r="F58" s="49"/>
      <c r="G58" s="49"/>
      <c r="H58" s="49"/>
      <c r="I58" s="49"/>
      <c r="J58" s="48"/>
      <c r="K58" s="55"/>
      <c r="L58" s="56"/>
    </row>
    <row r="59" spans="1:12" x14ac:dyDescent="0.3">
      <c r="A59" s="52" t="s">
        <v>54</v>
      </c>
      <c r="B59" s="52" t="s">
        <v>54</v>
      </c>
      <c r="C59" s="49"/>
      <c r="D59" s="49"/>
      <c r="E59" s="49"/>
      <c r="F59" s="49"/>
      <c r="G59" s="49"/>
      <c r="H59" s="49"/>
      <c r="I59" s="49"/>
      <c r="J59" s="48"/>
      <c r="K59" s="55"/>
      <c r="L59" s="56"/>
    </row>
    <row r="60" spans="1:12" x14ac:dyDescent="0.3">
      <c r="A60" s="52" t="s">
        <v>55</v>
      </c>
      <c r="B60" s="52" t="s">
        <v>55</v>
      </c>
      <c r="C60" s="49"/>
      <c r="D60" s="49"/>
      <c r="E60" s="49"/>
      <c r="F60" s="49"/>
      <c r="G60" s="49"/>
      <c r="H60" s="49"/>
      <c r="I60" s="49"/>
      <c r="J60" s="48"/>
      <c r="K60" s="50"/>
      <c r="L60" s="51"/>
    </row>
    <row r="61" spans="1:12" x14ac:dyDescent="0.3">
      <c r="A61" s="57"/>
      <c r="B61" s="57"/>
      <c r="C61" s="2"/>
      <c r="D61" s="2"/>
      <c r="E61" s="2"/>
      <c r="F61" s="2"/>
      <c r="H61" s="2"/>
      <c r="I61" s="2"/>
      <c r="J61" s="2"/>
      <c r="K61" s="2"/>
      <c r="L61" s="2"/>
    </row>
    <row r="62" spans="1:12" x14ac:dyDescent="0.3">
      <c r="A62" s="57"/>
      <c r="B62" s="57"/>
      <c r="C62" s="2"/>
      <c r="D62" s="2"/>
      <c r="E62" s="2"/>
      <c r="F62" s="2"/>
      <c r="H62" s="2"/>
      <c r="I62" s="2"/>
      <c r="J62" s="2"/>
      <c r="K62" s="2"/>
      <c r="L62" s="2"/>
    </row>
    <row r="63" spans="1:12" x14ac:dyDescent="0.3">
      <c r="A63" s="57"/>
      <c r="B63" s="57"/>
      <c r="C63" s="2"/>
      <c r="D63" s="2"/>
      <c r="E63" s="2"/>
      <c r="F63" s="2"/>
      <c r="H63" s="2"/>
      <c r="I63" s="2"/>
      <c r="J63" s="2"/>
      <c r="K63" s="2"/>
      <c r="L63" s="2"/>
    </row>
    <row r="64" spans="1:12" x14ac:dyDescent="0.3">
      <c r="G64" s="1"/>
    </row>
    <row r="65" spans="1:13" x14ac:dyDescent="0.3">
      <c r="A65" s="57"/>
      <c r="B65" s="57"/>
      <c r="C65" s="2"/>
      <c r="D65" s="2"/>
      <c r="E65" s="2"/>
      <c r="F65" s="2"/>
      <c r="H65" s="2"/>
      <c r="I65" s="2"/>
      <c r="J65" s="2"/>
      <c r="K65" s="2"/>
      <c r="L65" s="2"/>
    </row>
    <row r="66" spans="1:13" x14ac:dyDescent="0.3">
      <c r="A66" s="58"/>
      <c r="D66" s="2"/>
      <c r="E66" s="2"/>
      <c r="F66" s="2"/>
      <c r="H66" s="2"/>
      <c r="I66" s="2"/>
      <c r="J66" s="2"/>
      <c r="K66" s="2"/>
      <c r="L66" s="2"/>
    </row>
    <row r="67" spans="1:13" x14ac:dyDescent="0.3">
      <c r="A67" s="59" t="s">
        <v>56</v>
      </c>
      <c r="B67" s="60" t="e">
        <f>AVERAGE(C33:C41,C45:C51,C55:C60)</f>
        <v>#N/A</v>
      </c>
      <c r="D67" s="2"/>
      <c r="E67" s="2"/>
      <c r="F67" s="2"/>
      <c r="H67" s="2"/>
      <c r="I67" s="2"/>
      <c r="J67" s="2"/>
      <c r="K67" s="2"/>
      <c r="L67" s="2"/>
    </row>
    <row r="68" spans="1:13" ht="15" thickBot="1" x14ac:dyDescent="0.35">
      <c r="A68" s="61"/>
      <c r="B68" s="61"/>
      <c r="C68" s="62"/>
      <c r="D68" s="61"/>
      <c r="E68" s="61"/>
      <c r="F68" s="61"/>
      <c r="G68" s="61"/>
      <c r="H68" s="61"/>
      <c r="I68" s="61"/>
      <c r="J68" s="61"/>
      <c r="K68" s="61"/>
      <c r="L68" s="61"/>
      <c r="M68" s="61"/>
    </row>
    <row r="69" spans="1:13" x14ac:dyDescent="0.3">
      <c r="C69" s="63"/>
      <c r="D69" s="2"/>
      <c r="E69" s="2"/>
      <c r="F69" s="2"/>
      <c r="H69" s="2"/>
      <c r="I69" s="2"/>
      <c r="J69" s="2"/>
      <c r="K69" s="2"/>
      <c r="L69" s="2"/>
    </row>
    <row r="70" spans="1:13" x14ac:dyDescent="0.3">
      <c r="A70" s="64" t="s">
        <v>57</v>
      </c>
      <c r="B70" s="65" t="str">
        <f>IF(COUNTBLANK(C33:C41)=0,"COMPLETO","INCOMPLETO")</f>
        <v>COMPLETO</v>
      </c>
      <c r="D70" s="2"/>
      <c r="E70" s="2"/>
      <c r="F70" s="2"/>
      <c r="H70" s="2"/>
      <c r="I70" s="2"/>
      <c r="J70" s="2"/>
      <c r="K70" s="2"/>
      <c r="L70" s="2"/>
    </row>
    <row r="71" spans="1:13" x14ac:dyDescent="0.3">
      <c r="A71" s="66" t="s">
        <v>58</v>
      </c>
      <c r="B71" s="67" t="str">
        <f>IF(COUNTBLANK(C45:C51)=0,"COMPLETO","INCOMPLETO")</f>
        <v>INCOMPLETO</v>
      </c>
      <c r="D71" s="2"/>
      <c r="E71" s="2"/>
      <c r="F71" s="2"/>
      <c r="H71" s="2"/>
      <c r="I71" s="2"/>
      <c r="J71" s="2"/>
      <c r="K71" s="2"/>
      <c r="L71" s="2"/>
    </row>
    <row r="72" spans="1:13" x14ac:dyDescent="0.3">
      <c r="A72" s="68" t="s">
        <v>59</v>
      </c>
      <c r="B72" s="69" t="str">
        <f>IF(COUNTBLANK(C55:C60)=0,"COMPLETO","INCOMPLETO")</f>
        <v>INCOMPLETO</v>
      </c>
      <c r="D72" s="2"/>
      <c r="E72" s="2"/>
      <c r="F72" s="2"/>
      <c r="H72" s="2"/>
      <c r="I72" s="2"/>
      <c r="J72" s="2"/>
      <c r="K72" s="2"/>
      <c r="L72" s="2"/>
    </row>
    <row r="73" spans="1:13" ht="15" thickBot="1" x14ac:dyDescent="0.3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</row>
    <row r="74" spans="1:13" x14ac:dyDescent="0.3">
      <c r="B74" s="63"/>
      <c r="C74" s="63"/>
      <c r="D74" s="63"/>
      <c r="E74" s="63"/>
      <c r="F74" s="63"/>
      <c r="G74" s="70"/>
      <c r="H74" s="63"/>
      <c r="I74" s="63"/>
      <c r="J74" s="63"/>
      <c r="K74" s="63"/>
      <c r="L74" s="63"/>
      <c r="M74" s="63"/>
    </row>
    <row r="75" spans="1:13" x14ac:dyDescent="0.3">
      <c r="A75" s="71" t="s">
        <v>60</v>
      </c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spans="1:13" x14ac:dyDescent="0.3">
      <c r="A76" s="72">
        <f ca="1">TODAY()</f>
        <v>45593</v>
      </c>
      <c r="B76" s="73"/>
    </row>
    <row r="77" spans="1:13" x14ac:dyDescent="0.3">
      <c r="B77" s="73"/>
      <c r="G77" s="1"/>
    </row>
    <row r="78" spans="1:13" x14ac:dyDescent="0.3">
      <c r="B78" s="73"/>
      <c r="G78" s="1"/>
      <c r="K78" s="74"/>
      <c r="L78" s="74"/>
    </row>
    <row r="79" spans="1:13" x14ac:dyDescent="0.3">
      <c r="B79" s="73"/>
      <c r="G79" s="75" t="s">
        <v>61</v>
      </c>
      <c r="H79" s="75"/>
      <c r="I79" s="75"/>
      <c r="J79" s="75"/>
    </row>
    <row r="80" spans="1:13" ht="15" thickBot="1" x14ac:dyDescent="0.3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</row>
    <row r="81" spans="1:2" x14ac:dyDescent="0.3">
      <c r="B81" s="73"/>
    </row>
    <row r="82" spans="1:2" x14ac:dyDescent="0.3">
      <c r="B82" s="73"/>
    </row>
    <row r="83" spans="1:2" x14ac:dyDescent="0.3">
      <c r="B83" s="73"/>
    </row>
    <row r="84" spans="1:2" x14ac:dyDescent="0.3">
      <c r="B84" s="73"/>
    </row>
    <row r="85" spans="1:2" x14ac:dyDescent="0.3">
      <c r="B85" s="73"/>
    </row>
    <row r="86" spans="1:2" x14ac:dyDescent="0.3">
      <c r="B86" s="73"/>
    </row>
    <row r="87" spans="1:2" x14ac:dyDescent="0.3">
      <c r="B87" s="73"/>
    </row>
    <row r="88" spans="1:2" x14ac:dyDescent="0.3">
      <c r="B88" s="73"/>
    </row>
    <row r="89" spans="1:2" x14ac:dyDescent="0.3">
      <c r="B89" s="73"/>
    </row>
    <row r="90" spans="1:2" x14ac:dyDescent="0.3">
      <c r="B90" s="73"/>
    </row>
    <row r="91" spans="1:2" x14ac:dyDescent="0.3">
      <c r="A91" s="76"/>
      <c r="B91" s="73"/>
    </row>
  </sheetData>
  <mergeCells count="82">
    <mergeCell ref="A75:M75"/>
    <mergeCell ref="G79:J79"/>
    <mergeCell ref="A58:B58"/>
    <mergeCell ref="K58:L58"/>
    <mergeCell ref="A59:B59"/>
    <mergeCell ref="K59:L59"/>
    <mergeCell ref="A60:B60"/>
    <mergeCell ref="K60:L60"/>
    <mergeCell ref="A55:B55"/>
    <mergeCell ref="K55:L55"/>
    <mergeCell ref="A56:B56"/>
    <mergeCell ref="K56:L56"/>
    <mergeCell ref="A57:B57"/>
    <mergeCell ref="K57:L57"/>
    <mergeCell ref="A51:B51"/>
    <mergeCell ref="K51:L51"/>
    <mergeCell ref="A52:J52"/>
    <mergeCell ref="K52:L52"/>
    <mergeCell ref="A53:B54"/>
    <mergeCell ref="C53:D53"/>
    <mergeCell ref="E53:F53"/>
    <mergeCell ref="G53:I53"/>
    <mergeCell ref="K53:L53"/>
    <mergeCell ref="K54:L54"/>
    <mergeCell ref="A48:B48"/>
    <mergeCell ref="K48:L48"/>
    <mergeCell ref="A49:B49"/>
    <mergeCell ref="K49:L49"/>
    <mergeCell ref="A50:B50"/>
    <mergeCell ref="K50:L50"/>
    <mergeCell ref="A45:B45"/>
    <mergeCell ref="K45:L45"/>
    <mergeCell ref="A46:B46"/>
    <mergeCell ref="K46:L46"/>
    <mergeCell ref="A47:B47"/>
    <mergeCell ref="K47:L47"/>
    <mergeCell ref="A42:J42"/>
    <mergeCell ref="K42:L42"/>
    <mergeCell ref="A43:B44"/>
    <mergeCell ref="C43:D43"/>
    <mergeCell ref="E43:F43"/>
    <mergeCell ref="G43:I43"/>
    <mergeCell ref="K43:L43"/>
    <mergeCell ref="K44:L44"/>
    <mergeCell ref="A39:B39"/>
    <mergeCell ref="K39:L39"/>
    <mergeCell ref="A40:B40"/>
    <mergeCell ref="K40:L40"/>
    <mergeCell ref="A41:B41"/>
    <mergeCell ref="K41:L41"/>
    <mergeCell ref="A36:B36"/>
    <mergeCell ref="K36:L36"/>
    <mergeCell ref="A37:B37"/>
    <mergeCell ref="K37:L37"/>
    <mergeCell ref="A38:B38"/>
    <mergeCell ref="K38:L38"/>
    <mergeCell ref="A33:B33"/>
    <mergeCell ref="K33:L33"/>
    <mergeCell ref="A34:B34"/>
    <mergeCell ref="K34:L34"/>
    <mergeCell ref="A35:B35"/>
    <mergeCell ref="K35:L35"/>
    <mergeCell ref="A30:J30"/>
    <mergeCell ref="K30:L30"/>
    <mergeCell ref="A31:B32"/>
    <mergeCell ref="C31:D31"/>
    <mergeCell ref="E31:F31"/>
    <mergeCell ref="G31:I31"/>
    <mergeCell ref="K31:L31"/>
    <mergeCell ref="K32:L32"/>
    <mergeCell ref="B20:C20"/>
    <mergeCell ref="B21:I22"/>
    <mergeCell ref="K21:L21"/>
    <mergeCell ref="K23:L23"/>
    <mergeCell ref="B24:J25"/>
    <mergeCell ref="A27:L28"/>
    <mergeCell ref="A8:L12"/>
    <mergeCell ref="A13:L13"/>
    <mergeCell ref="A14:L14"/>
    <mergeCell ref="B15:J15"/>
    <mergeCell ref="B17:H17"/>
    <mergeCell ref="K18:L18"/>
  </mergeCells>
  <dataValidations count="1">
    <dataValidation type="list" allowBlank="1" showInputMessage="1" showErrorMessage="1" sqref="B15" xr:uid="{5904655F-182B-402F-BC24-F7A187BEF5C7}">
      <formula1>TITULOS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Certificado</vt:lpstr>
      <vt:lpstr>TIPOS</vt:lpstr>
      <vt:lpstr>TITULOS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Figueroa</dc:creator>
  <cp:lastModifiedBy>Tomas Figueroa</cp:lastModifiedBy>
  <dcterms:created xsi:type="dcterms:W3CDTF">2024-10-28T23:22:14Z</dcterms:created>
  <dcterms:modified xsi:type="dcterms:W3CDTF">2024-10-28T23:25:13Z</dcterms:modified>
</cp:coreProperties>
</file>